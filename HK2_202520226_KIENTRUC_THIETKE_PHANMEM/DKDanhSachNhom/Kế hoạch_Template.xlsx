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4"/>
    <sheet state="visible" name="Kế hoạch thực hiện" sheetId="2" r:id="rId5"/>
    <sheet state="visible" name="Nhật ký" sheetId="3" r:id="rId6"/>
    <sheet state="visible" name="DS Sinh Viên" sheetId="4" r:id="rId7"/>
  </sheets>
  <definedNames>
    <definedName localSheetId="1" name="prevWBS">'Kế hoạch thực hiện Đồ án'!#REF!</definedName>
  </definedNames>
  <calcPr/>
  <extLst>
    <ext uri="GoogleSheetsCustomDataVersion2">
      <go:sheetsCustomData xmlns:go="http://customooxmlschemas.google.com/" r:id="rId8" roundtripDataChecksum="8fkP3SvNBJN4K3EXHZTQYrTdp7eMd0/mgCneR/OYlZY="/>
    </ext>
  </extLst>
</workbook>
</file>

<file path=xl/sharedStrings.xml><?xml version="1.0" encoding="utf-8"?>
<sst xmlns="http://schemas.openxmlformats.org/spreadsheetml/2006/main" count="102" uniqueCount="67">
  <si>
    <t>Project Charter</t>
  </si>
  <si>
    <t>1. Tên dự án:</t>
  </si>
  <si>
    <t>Hệ thống Thương mại điện tử</t>
  </si>
  <si>
    <t>2. Mục tiêu:</t>
  </si>
  <si>
    <t>Xây dựng nền tảng thương mại điện tử hiện đại để kết nối người bán và người mua toàn quốc, tăng trưởng doanh thu online, mở rộng thị phần.</t>
  </si>
  <si>
    <t>3. Phạm vi:</t>
  </si>
  <si>
    <t>In Scope</t>
  </si>
  <si>
    <t>1. Website web-based (PC, mobile web)
2. Module: Sản phẩm, giỏ hàng, thanh toán, vận chuyển, quản lý đơn hàng</t>
  </si>
  <si>
    <t>Out of Scope</t>
  </si>
  <si>
    <t>1. Mobile App riêng (native)
2. CRM nâng cao</t>
  </si>
  <si>
    <r>
      <rPr>
        <rFont val="Arial"/>
        <b/>
        <color theme="1"/>
        <sz val="11.0"/>
      </rPr>
      <t>4. Lịch trình:</t>
    </r>
    <r>
      <rPr>
        <rFont val="Arial"/>
        <b val="0"/>
        <color rgb="FF000000"/>
        <sz val="10.0"/>
      </rPr>
      <t xml:space="preserve"> (Đính kèm biểu đồ Gantt)</t>
    </r>
  </si>
  <si>
    <t>5. Ngân sách:</t>
  </si>
  <si>
    <t>100 triệu VNĐ</t>
  </si>
  <si>
    <r>
      <rPr>
        <rFont val="Arial"/>
        <b/>
        <color theme="1"/>
        <sz val="11.0"/>
      </rPr>
      <t>6. Phân công nhiệm vụ:</t>
    </r>
    <r>
      <rPr>
        <rFont val="Arial"/>
        <b val="0"/>
        <color rgb="FF000000"/>
        <sz val="10.0"/>
      </rPr>
      <t xml:space="preserve"> (Sử dụng bảng RACI nếu cần)</t>
    </r>
  </si>
  <si>
    <t>Vai trò (Role)</t>
  </si>
  <si>
    <t>Họ và tên</t>
  </si>
  <si>
    <t>Project Manager</t>
  </si>
  <si>
    <t>BA</t>
  </si>
  <si>
    <t>Dev Lead</t>
  </si>
  <si>
    <t>Dev</t>
  </si>
  <si>
    <t>Tester</t>
  </si>
  <si>
    <t>7. Quản lý rủi ro:</t>
  </si>
  <si>
    <t>Rủi ro</t>
  </si>
  <si>
    <t>Giải pháp</t>
  </si>
  <si>
    <t>8. Kế hoạch triển khai:</t>
  </si>
  <si>
    <t>Ngày bắt đầu</t>
  </si>
  <si>
    <t>Ngày kết thúc</t>
  </si>
  <si>
    <t>MỐC CHÍNH (KEY MILESTONE)</t>
  </si>
  <si>
    <t>Bắt đầu</t>
  </si>
  <si>
    <t>Kết thúc</t>
  </si>
  <si>
    <t>9. Đánh giá hiệu quả:</t>
  </si>
  <si>
    <t>1. Dự án được hoàn thành đúng hạn (trước ngày .../2025) và trong phạm vi ngân sách (≤ 100 triệu VNĐ).
2. Website có thể xử lý tối thiểu 1.000 lượt truy cập/ngày tại thời điểm bàn giao.
3. Thời gian phản hồi trung bình của trang &lt; 2 giây.
4. 90% các tính năng yêu cầu ban đầu được triển khai đầy đủ và đúng như mô tả.
5. Được người dùng nội bộ/khách hàng đánh giá ≥ 4/5 điểm hài lòng trong khảo sát sau triển khai.
6. Tỷ lệ lỗi nghiêm trọng (blocker/critical) &lt; 1% trong tháng đầu sử dụng.</t>
  </si>
  <si>
    <t>10. Major Deliverables
(Các sản phẩm chính)</t>
  </si>
  <si>
    <t>1. Tài liệu phân tích nghiệp vụ (BRD)
2. UI/UX Prototype
3. MVP (phiên bản chạy thử) 
4. Manual và Training</t>
  </si>
  <si>
    <t>KẾ HOẠCH THỰC HIỆN</t>
  </si>
  <si>
    <t>Legend:</t>
  </si>
  <si>
    <t>Tên đề tài:</t>
  </si>
  <si>
    <t>Kế hoạch</t>
  </si>
  <si>
    <t>Hoàn thành đúng kế hoạch</t>
  </si>
  <si>
    <t>Hoàn thành trễ</t>
  </si>
  <si>
    <t>Giảng viên hướng dẫn:</t>
  </si>
  <si>
    <t>Thực tế</t>
  </si>
  <si>
    <t>Hoàn thành sớm</t>
  </si>
  <si>
    <t>Thời gian thực hiện ngoài kế hoạch</t>
  </si>
  <si>
    <t>Ngày bắt đầu dự án</t>
  </si>
  <si>
    <t>Tuần hiển thị</t>
  </si>
  <si>
    <t>#</t>
  </si>
  <si>
    <t>Nhiệm vụ</t>
  </si>
  <si>
    <t>Số ngày</t>
  </si>
  <si>
    <t>Người thực hiện</t>
  </si>
  <si>
    <t>% Hoàn thành</t>
  </si>
  <si>
    <t>Số ngày thực hiện</t>
  </si>
  <si>
    <t>[Task Category]</t>
  </si>
  <si>
    <t>[Task]</t>
  </si>
  <si>
    <t>Nguyen Van A</t>
  </si>
  <si>
    <t>Nguyen Van B</t>
  </si>
  <si>
    <t>AAA</t>
  </si>
  <si>
    <t>NHẬT KÝ LÀM VIỆC</t>
  </si>
  <si>
    <t>Tên đồ án:</t>
  </si>
  <si>
    <t xml:space="preserve">Giảng viên hướng dẫn: </t>
  </si>
  <si>
    <t>Ngày bắt đầu:</t>
  </si>
  <si>
    <t>Tuần</t>
  </si>
  <si>
    <t>Từ ngày</t>
  </si>
  <si>
    <t>Đến ngày</t>
  </si>
  <si>
    <t xml:space="preserve">Ngày báo cáo </t>
  </si>
  <si>
    <t>Tóm tắt công việc đã thực hiện</t>
  </si>
  <si>
    <t>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</si>
</sst>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/d/yyyy\ \(dddd\)"/>
    <numFmt numFmtId="166" formatCode="d"/>
    <numFmt numFmtId="167" formatCode="ddd\ m/dd/yy"/>
    <numFmt numFmtId="168" formatCode="dd/mm/yyyy\ \(dddd\)"/>
  </numFmts>
  <fonts count="32">
    <font>
      <sz val="10.0"/>
      <color rgb="FF000000"/>
      <name val="Arial"/>
      <scheme val="minor"/>
    </font>
    <font>
      <b/>
      <sz val="28.0"/>
      <color rgb="FF0070C0"/>
      <name val="Arial"/>
    </font>
    <font>
      <sz val="13.0"/>
      <color rgb="FF000000"/>
      <name val="Times New Roman"/>
    </font>
    <font>
      <sz val="13.0"/>
      <color theme="1"/>
      <name val="Times New Roman"/>
    </font>
    <font>
      <b/>
      <sz val="11.0"/>
      <color theme="1"/>
      <name val="Arial"/>
    </font>
    <font>
      <sz val="13.0"/>
      <color theme="1"/>
      <name val="Arial"/>
    </font>
    <font>
      <b/>
      <sz val="13.0"/>
      <color rgb="FF000000"/>
      <name val="Times New Roman"/>
    </font>
    <font/>
    <font>
      <sz val="14.0"/>
      <color rgb="FF003366"/>
      <name val="Arial"/>
    </font>
    <font>
      <sz val="10.0"/>
      <color theme="1"/>
      <name val="Arial"/>
    </font>
    <font>
      <b/>
      <i/>
      <sz val="10.0"/>
      <color rgb="FF000000"/>
      <name val="Arial"/>
    </font>
    <font>
      <b/>
      <sz val="28.0"/>
      <color rgb="FF0070C0"/>
      <name val="AẢ"/>
    </font>
    <font>
      <sz val="11.0"/>
      <color theme="1"/>
      <name val="Arial"/>
    </font>
    <font>
      <sz val="11.0"/>
      <color rgb="FFC0C0C0"/>
      <name val="Arial"/>
    </font>
    <font>
      <sz val="9.0"/>
      <color theme="1"/>
      <name val="Arial"/>
    </font>
    <font>
      <sz val="7.0"/>
      <color rgb="FFC0C0C0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b/>
      <sz val="12.0"/>
      <color rgb="FF0070C0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9.0"/>
      <color rgb="FF000000"/>
      <name val="Arial"/>
    </font>
    <font>
      <sz val="14.0"/>
      <color theme="1"/>
      <name val="Arial"/>
    </font>
    <font>
      <sz val="9.0"/>
      <color rgb="FF000000"/>
      <name val="Arial"/>
    </font>
    <font>
      <sz val="14.0"/>
      <color rgb="FF000000"/>
      <name val="Arial"/>
    </font>
    <font>
      <b/>
      <sz val="28.0"/>
      <color rgb="FF0070C0"/>
      <name val="Times New Roman"/>
    </font>
    <font>
      <b/>
      <sz val="28.0"/>
      <color theme="1"/>
      <name val="Times New Roman"/>
    </font>
    <font>
      <sz val="11.0"/>
      <color theme="1"/>
      <name val="Times New Roman"/>
    </font>
    <font>
      <b/>
      <sz val="13.0"/>
      <color theme="1"/>
      <name val="Times New Roman"/>
    </font>
    <font>
      <u/>
      <sz val="11.0"/>
      <color theme="1"/>
      <name val="Arial"/>
    </font>
    <font>
      <b/>
      <sz val="13.0"/>
      <color rgb="FF0070C0"/>
      <name val="Times New Roman"/>
    </font>
    <font>
      <b/>
      <sz val="42.0"/>
      <color theme="1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 style="thin">
        <color rgb="FF0C0C0C"/>
      </left>
      <top style="thin">
        <color rgb="FF0C0C0C"/>
      </top>
      <bottom style="thin">
        <color rgb="FF0C0C0C"/>
      </bottom>
    </border>
    <border>
      <right style="thin">
        <color rgb="FF0C0C0C"/>
      </right>
      <top style="thin">
        <color rgb="FF0C0C0C"/>
      </top>
      <bottom style="thin">
        <color rgb="FF0C0C0C"/>
      </bottom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bottom style="thin">
        <color rgb="FFBFBFBF"/>
      </bottom>
    </border>
    <border>
      <left style="medium">
        <color rgb="FFBFBFBF"/>
      </left>
    </border>
    <border>
      <right style="medium">
        <color rgb="FFBFBFBF"/>
      </right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medium">
        <color rgb="FFBFBFBF"/>
      </right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thin">
        <color rgb="FFBFBFBF"/>
      </right>
      <bottom style="medium">
        <color rgb="FFA5A5A5"/>
      </bottom>
    </border>
    <border>
      <left style="thin">
        <color rgb="FFBFBFBF"/>
      </left>
      <right style="medium">
        <color rgb="FFBFBFBF"/>
      </right>
      <bottom style="medium">
        <color rgb="FFA5A5A5"/>
      </bottom>
    </border>
    <border>
      <left/>
      <right/>
      <top/>
      <bottom style="thin">
        <color rgb="FFEFEFEF"/>
      </bottom>
    </border>
    <border>
      <left/>
      <right/>
      <top/>
      <bottom style="thin">
        <color rgb="FFEAEAEA"/>
      </bottom>
    </border>
    <border>
      <top style="thin">
        <color rgb="FFEFEFEF"/>
      </top>
      <bottom style="thin">
        <color rgb="FFEFEFEF"/>
      </bottom>
    </border>
    <border>
      <top style="thin">
        <color rgb="FFEAEAEA"/>
      </top>
      <bottom style="thin">
        <color rgb="FFEAEAEA"/>
      </bottom>
    </border>
    <border>
      <top style="thin">
        <color rgb="FFEFEFEF"/>
      </top>
    </border>
    <border>
      <top style="thin">
        <color theme="0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left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3" numFmtId="0" xfId="0" applyAlignment="1" applyFont="1">
      <alignment shrinkToFit="0" vertical="top" wrapText="1"/>
    </xf>
    <xf borderId="0" fillId="0" fontId="5" numFmtId="0" xfId="0" applyFont="1"/>
    <xf borderId="2" fillId="0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0" fillId="0" fontId="3" numFmtId="14" xfId="0" applyFont="1" applyNumberFormat="1"/>
    <xf borderId="5" fillId="0" fontId="6" numFmtId="0" xfId="0" applyAlignment="1" applyBorder="1" applyFont="1">
      <alignment horizontal="left" shrinkToFit="0" vertical="center" wrapText="1"/>
    </xf>
    <xf borderId="6" fillId="0" fontId="7" numFmtId="0" xfId="0" applyBorder="1" applyFont="1"/>
    <xf borderId="7" fillId="0" fontId="7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readingOrder="1" shrinkToFit="0" vertical="center" wrapText="1"/>
    </xf>
    <xf borderId="5" fillId="0" fontId="2" numFmtId="164" xfId="0" applyAlignment="1" applyBorder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9" numFmtId="0" xfId="0" applyFont="1"/>
    <xf borderId="0" fillId="0" fontId="9" numFmtId="0" xfId="0" applyAlignment="1" applyFont="1">
      <alignment horizontal="right" vertic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2" numFmtId="0" xfId="0" applyFont="1"/>
    <xf borderId="0" fillId="0" fontId="13" numFmtId="0" xfId="0" applyFont="1"/>
    <xf borderId="1" fillId="2" fontId="12" numFmtId="0" xfId="0" applyBorder="1" applyFont="1"/>
    <xf borderId="1" fillId="3" fontId="9" numFmtId="0" xfId="0" applyBorder="1" applyFill="1" applyFont="1"/>
    <xf borderId="1" fillId="4" fontId="9" numFmtId="0" xfId="0" applyBorder="1" applyFill="1" applyFont="1"/>
    <xf borderId="1" fillId="5" fontId="9" numFmtId="0" xfId="0" applyBorder="1" applyFill="1" applyFont="1"/>
    <xf borderId="1" fillId="6" fontId="9" numFmtId="0" xfId="0" applyBorder="1" applyFill="1" applyFont="1"/>
    <xf borderId="0" fillId="0" fontId="12" numFmtId="0" xfId="0" applyAlignment="1" applyFont="1">
      <alignment vertical="center"/>
    </xf>
    <xf borderId="0" fillId="0" fontId="14" numFmtId="0" xfId="0" applyFont="1"/>
    <xf borderId="0" fillId="0" fontId="15" numFmtId="0" xfId="0" applyFont="1"/>
    <xf borderId="0" fillId="0" fontId="9" numFmtId="14" xfId="0" applyFont="1" applyNumberFormat="1"/>
    <xf borderId="1" fillId="2" fontId="9" numFmtId="0" xfId="0" applyBorder="1" applyFont="1"/>
    <xf borderId="0" fillId="0" fontId="16" numFmtId="0" xfId="0" applyAlignment="1" applyFont="1">
      <alignment horizontal="left"/>
    </xf>
    <xf borderId="0" fillId="0" fontId="17" numFmtId="0" xfId="0" applyAlignment="1" applyFont="1">
      <alignment horizontal="right" vertical="center"/>
    </xf>
    <xf borderId="0" fillId="0" fontId="18" numFmtId="14" xfId="0" applyAlignment="1" applyFont="1" applyNumberFormat="1">
      <alignment horizontal="center" shrinkToFit="1" vertical="center" wrapText="0"/>
    </xf>
    <xf borderId="0" fillId="0" fontId="9" numFmtId="0" xfId="0" applyAlignment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1" fillId="0" fontId="7" numFmtId="0" xfId="0" applyBorder="1" applyFont="1"/>
    <xf borderId="0" fillId="0" fontId="9" numFmtId="165" xfId="0" applyAlignment="1" applyFont="1" applyNumberFormat="1">
      <alignment horizontal="center" shrinkToFit="1" vertical="center" wrapText="0"/>
    </xf>
    <xf borderId="10" fillId="0" fontId="9" numFmtId="14" xfId="0" applyAlignment="1" applyBorder="1" applyFont="1" applyNumberFormat="1">
      <alignment horizontal="center" vertical="center"/>
    </xf>
    <xf borderId="12" fillId="0" fontId="19" numFmtId="0" xfId="0" applyAlignment="1" applyBorder="1" applyFont="1">
      <alignment horizontal="center" vertical="center"/>
    </xf>
    <xf borderId="12" fillId="0" fontId="19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shrinkToFit="0" vertical="center" wrapText="1"/>
    </xf>
    <xf borderId="14" fillId="0" fontId="7" numFmtId="0" xfId="0" applyBorder="1" applyFont="1"/>
    <xf borderId="15" fillId="0" fontId="20" numFmtId="166" xfId="0" applyAlignment="1" applyBorder="1" applyFont="1" applyNumberFormat="1">
      <alignment horizontal="center" shrinkToFit="1" vertical="center" wrapText="0"/>
    </xf>
    <xf borderId="16" fillId="0" fontId="20" numFmtId="166" xfId="0" applyAlignment="1" applyBorder="1" applyFont="1" applyNumberFormat="1">
      <alignment horizontal="center" shrinkToFit="1" vertical="center" wrapText="0"/>
    </xf>
    <xf borderId="17" fillId="0" fontId="20" numFmtId="166" xfId="0" applyAlignment="1" applyBorder="1" applyFont="1" applyNumberFormat="1">
      <alignment horizontal="center" shrinkToFit="1" vertical="center" wrapText="0"/>
    </xf>
    <xf borderId="18" fillId="0" fontId="7" numFmtId="0" xfId="0" applyBorder="1" applyFont="1"/>
    <xf borderId="19" fillId="0" fontId="19" numFmtId="0" xfId="0" applyAlignment="1" applyBorder="1" applyFont="1">
      <alignment horizontal="center" vertical="center"/>
    </xf>
    <xf borderId="20" fillId="0" fontId="20" numFmtId="0" xfId="0" applyAlignment="1" applyBorder="1" applyFont="1">
      <alignment horizontal="center" shrinkToFit="1" vertical="center" wrapText="0"/>
    </xf>
    <xf borderId="21" fillId="0" fontId="20" numFmtId="0" xfId="0" applyAlignment="1" applyBorder="1" applyFont="1">
      <alignment horizontal="center" shrinkToFit="1" vertical="center" wrapText="0"/>
    </xf>
    <xf borderId="22" fillId="0" fontId="20" numFmtId="0" xfId="0" applyAlignment="1" applyBorder="1" applyFont="1">
      <alignment horizontal="center" shrinkToFit="1" vertical="center" wrapText="0"/>
    </xf>
    <xf borderId="23" fillId="7" fontId="21" numFmtId="0" xfId="0" applyAlignment="1" applyBorder="1" applyFill="1" applyFont="1">
      <alignment horizontal="left" vertical="center"/>
    </xf>
    <xf borderId="24" fillId="8" fontId="4" numFmtId="0" xfId="0" applyAlignment="1" applyBorder="1" applyFill="1" applyFont="1">
      <alignment vertical="center"/>
    </xf>
    <xf borderId="24" fillId="8" fontId="14" numFmtId="0" xfId="0" applyAlignment="1" applyBorder="1" applyFont="1">
      <alignment vertical="center"/>
    </xf>
    <xf borderId="24" fillId="8" fontId="14" numFmtId="167" xfId="0" applyAlignment="1" applyBorder="1" applyFont="1" applyNumberFormat="1">
      <alignment horizontal="right" vertical="center"/>
    </xf>
    <xf borderId="24" fillId="8" fontId="14" numFmtId="167" xfId="0" applyAlignment="1" applyBorder="1" applyFont="1" applyNumberFormat="1">
      <alignment horizontal="center" vertical="center"/>
    </xf>
    <xf borderId="24" fillId="8" fontId="14" numFmtId="1" xfId="0" applyAlignment="1" applyBorder="1" applyFont="1" applyNumberFormat="1">
      <alignment horizontal="center" vertical="center"/>
    </xf>
    <xf borderId="24" fillId="8" fontId="14" numFmtId="9" xfId="0" applyAlignment="1" applyBorder="1" applyFont="1" applyNumberFormat="1">
      <alignment horizontal="center" vertical="center"/>
    </xf>
    <xf borderId="24" fillId="8" fontId="22" numFmtId="1" xfId="0" applyAlignment="1" applyBorder="1" applyFont="1" applyNumberFormat="1">
      <alignment horizontal="center" vertical="center"/>
    </xf>
    <xf borderId="24" fillId="8" fontId="14" numFmtId="0" xfId="0" applyAlignment="1" applyBorder="1" applyFont="1">
      <alignment horizontal="left" vertical="center"/>
    </xf>
    <xf borderId="25" fillId="0" fontId="23" numFmtId="0" xfId="0" applyAlignment="1" applyBorder="1" applyFont="1">
      <alignment horizontal="left" vertical="center"/>
    </xf>
    <xf borderId="26" fillId="0" fontId="14" numFmtId="0" xfId="0" applyAlignment="1" applyBorder="1" applyFont="1">
      <alignment shrinkToFit="0" vertical="center" wrapText="1"/>
    </xf>
    <xf borderId="25" fillId="0" fontId="23" numFmtId="1" xfId="0" applyAlignment="1" applyBorder="1" applyFont="1" applyNumberFormat="1">
      <alignment horizontal="center" vertical="center"/>
    </xf>
    <xf borderId="25" fillId="0" fontId="23" numFmtId="14" xfId="0" applyAlignment="1" applyBorder="1" applyFont="1" applyNumberFormat="1">
      <alignment horizontal="center" vertical="center"/>
    </xf>
    <xf borderId="25" fillId="0" fontId="23" numFmtId="1" xfId="0" applyAlignment="1" applyBorder="1" applyFont="1" applyNumberFormat="1">
      <alignment horizontal="left" readingOrder="0" vertical="center"/>
    </xf>
    <xf borderId="25" fillId="0" fontId="23" numFmtId="9" xfId="0" applyAlignment="1" applyBorder="1" applyFont="1" applyNumberFormat="1">
      <alignment horizontal="center" vertical="center"/>
    </xf>
    <xf borderId="25" fillId="0" fontId="24" numFmtId="1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left" vertical="center"/>
    </xf>
    <xf borderId="25" fillId="0" fontId="23" numFmtId="1" xfId="0" applyAlignment="1" applyBorder="1" applyFont="1" applyNumberFormat="1">
      <alignment horizontal="left" vertical="center"/>
    </xf>
    <xf borderId="26" fillId="0" fontId="14" numFmtId="9" xfId="0" applyAlignment="1" applyBorder="1" applyFont="1" applyNumberFormat="1">
      <alignment horizontal="left" vertical="center"/>
    </xf>
    <xf borderId="27" fillId="0" fontId="23" numFmtId="14" xfId="0" applyAlignment="1" applyBorder="1" applyFont="1" applyNumberFormat="1">
      <alignment horizontal="center" vertical="center"/>
    </xf>
    <xf borderId="28" fillId="0" fontId="23" numFmtId="14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/>
    </xf>
    <xf borderId="0" fillId="0" fontId="26" numFmtId="0" xfId="0" applyFont="1"/>
    <xf borderId="0" fillId="0" fontId="27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28" numFmtId="0" xfId="0" applyAlignment="1" applyFont="1">
      <alignment horizontal="left" vertical="center"/>
    </xf>
    <xf borderId="0" fillId="0" fontId="28" numFmtId="0" xfId="0" applyFont="1"/>
    <xf borderId="0" fillId="0" fontId="29" numFmtId="0" xfId="0" applyFont="1"/>
    <xf borderId="0" fillId="0" fontId="28" numFmtId="0" xfId="0" applyAlignment="1" applyFont="1">
      <alignment horizontal="left"/>
    </xf>
    <xf borderId="0" fillId="0" fontId="28" numFmtId="14" xfId="0" applyAlignment="1" applyFont="1" applyNumberFormat="1">
      <alignment horizontal="left" vertical="center"/>
    </xf>
    <xf borderId="0" fillId="0" fontId="30" numFmtId="168" xfId="0" applyFont="1" applyNumberFormat="1"/>
    <xf borderId="0" fillId="0" fontId="31" numFmtId="0" xfId="0" applyAlignment="1" applyFont="1">
      <alignment horizontal="left"/>
    </xf>
    <xf borderId="29" fillId="0" fontId="28" numFmtId="0" xfId="0" applyAlignment="1" applyBorder="1" applyFont="1">
      <alignment horizontal="center" vertical="center"/>
    </xf>
    <xf borderId="29" fillId="0" fontId="2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29" fillId="0" fontId="3" numFmtId="0" xfId="0" applyAlignment="1" applyBorder="1" applyFont="1">
      <alignment horizontal="center" vertical="center"/>
    </xf>
    <xf borderId="29" fillId="0" fontId="3" numFmtId="14" xfId="0" applyAlignment="1" applyBorder="1" applyFont="1" applyNumberFormat="1">
      <alignment vertical="center"/>
    </xf>
    <xf borderId="29" fillId="0" fontId="3" numFmtId="0" xfId="0" applyAlignment="1" applyBorder="1" applyFont="1">
      <alignment horizontal="left" vertical="center"/>
    </xf>
    <xf borderId="0" fillId="0" fontId="31" numFmtId="0" xfId="0" applyAlignment="1" applyFont="1">
      <alignment horizontal="center" vertical="top"/>
    </xf>
    <xf borderId="29" fillId="0" fontId="6" numFmtId="0" xfId="0" applyAlignment="1" applyBorder="1" applyFont="1">
      <alignment horizontal="center"/>
    </xf>
    <xf borderId="29" fillId="0" fontId="2" numFmtId="0" xfId="0" applyBorder="1" applyFont="1"/>
    <xf borderId="29" fillId="0" fontId="2" numFmtId="0" xfId="0" applyAlignment="1" applyBorder="1" applyFont="1">
      <alignment readingOrder="0"/>
    </xf>
  </cellXfs>
  <cellStyles count="1">
    <cellStyle xfId="0" name="Normal" builtinId="0"/>
  </cellStyles>
  <dxfs count="10">
    <dxf>
      <font>
        <color theme="0"/>
      </font>
      <fill>
        <patternFill patternType="solid">
          <fgColor rgb="FF0085BF"/>
          <bgColor rgb="FF0085BF"/>
        </patternFill>
      </fill>
      <border/>
    </dxf>
    <dxf>
      <font>
        <color theme="0"/>
      </font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0070C0"/>
          <bgColor rgb="FF0070C0"/>
        </patternFill>
      </fill>
      <border/>
    </dxf>
    <dxf>
      <font>
        <color rgb="FF0070C0"/>
      </font>
      <fill>
        <patternFill patternType="none"/>
      </fill>
      <border>
        <left style="thin">
          <color rgb="FF0070C0"/>
        </left>
        <right style="thin">
          <color rgb="FF0070C0"/>
        </right>
      </border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70C0"/>
          <bgColor rgb="FF0070C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00B0F0"/>
          <bgColor rgb="FF00B0F0"/>
        </patternFill>
      </fill>
      <border/>
    </dxf>
    <dxf>
      <font>
        <color theme="1"/>
      </font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23.63"/>
    <col customWidth="1" min="3" max="3" width="13.63"/>
    <col customWidth="1" min="4" max="4" width="10.5"/>
    <col customWidth="1" min="5" max="5" width="24.13"/>
    <col customWidth="1" min="6" max="6" width="10.63"/>
    <col customWidth="1" min="7" max="7" width="8.0"/>
    <col customWidth="1" min="8" max="26" width="10.63"/>
  </cols>
  <sheetData>
    <row r="1" ht="12.75" customHeight="1">
      <c r="B1" s="1" t="s">
        <v>0</v>
      </c>
    </row>
    <row r="2" ht="12.75" customHeight="1">
      <c r="B2" s="2"/>
      <c r="C2" s="3"/>
      <c r="D2" s="3"/>
      <c r="E2" s="3"/>
      <c r="F2" s="3"/>
      <c r="G2" s="3"/>
    </row>
    <row r="3" ht="12.75" customHeight="1">
      <c r="B3" s="4" t="s">
        <v>1</v>
      </c>
      <c r="C3" s="3" t="s">
        <v>2</v>
      </c>
      <c r="D3" s="3"/>
      <c r="E3" s="3"/>
      <c r="F3" s="3"/>
      <c r="G3" s="3"/>
    </row>
    <row r="4" ht="12.75" customHeight="1">
      <c r="B4" s="4" t="s">
        <v>3</v>
      </c>
      <c r="C4" s="3" t="s">
        <v>4</v>
      </c>
      <c r="D4" s="3"/>
      <c r="E4" s="3"/>
      <c r="F4" s="3"/>
      <c r="G4" s="3"/>
    </row>
    <row r="5" ht="12.75" customHeight="1">
      <c r="B5" s="4" t="s">
        <v>5</v>
      </c>
      <c r="C5" s="3"/>
      <c r="D5" s="3"/>
      <c r="E5" s="3"/>
      <c r="F5" s="3"/>
      <c r="G5" s="3"/>
    </row>
    <row r="6" ht="37.5" customHeight="1">
      <c r="B6" s="5" t="s">
        <v>6</v>
      </c>
      <c r="C6" s="6" t="s">
        <v>7</v>
      </c>
    </row>
    <row r="7" ht="40.5" customHeight="1">
      <c r="B7" s="5" t="s">
        <v>8</v>
      </c>
      <c r="C7" s="6" t="s">
        <v>9</v>
      </c>
    </row>
    <row r="8" ht="12.75" customHeight="1">
      <c r="B8" s="4" t="s">
        <v>10</v>
      </c>
      <c r="C8" s="3"/>
      <c r="D8" s="3"/>
      <c r="E8" s="3"/>
      <c r="F8" s="3"/>
      <c r="G8" s="3"/>
    </row>
    <row r="9" ht="12.75" customHeight="1">
      <c r="B9" s="4" t="s">
        <v>11</v>
      </c>
      <c r="C9" s="3" t="s">
        <v>12</v>
      </c>
      <c r="D9" s="3"/>
      <c r="E9" s="3"/>
      <c r="F9" s="3"/>
      <c r="G9" s="3"/>
    </row>
    <row r="10" ht="12.75" customHeight="1">
      <c r="B10" s="4" t="s">
        <v>13</v>
      </c>
      <c r="C10" s="7"/>
      <c r="D10" s="3"/>
      <c r="E10" s="3"/>
      <c r="F10" s="3"/>
      <c r="G10" s="3"/>
    </row>
    <row r="11" ht="12.75" customHeight="1">
      <c r="B11" s="4"/>
      <c r="C11" s="8" t="s">
        <v>14</v>
      </c>
      <c r="D11" s="9"/>
      <c r="E11" s="10" t="s">
        <v>15</v>
      </c>
      <c r="F11" s="3"/>
      <c r="G11" s="3"/>
    </row>
    <row r="12" ht="12.75" customHeight="1">
      <c r="B12" s="4"/>
      <c r="C12" s="11" t="s">
        <v>16</v>
      </c>
      <c r="D12" s="9"/>
      <c r="E12" s="12"/>
      <c r="F12" s="3"/>
      <c r="G12" s="3"/>
    </row>
    <row r="13" ht="12.75" customHeight="1">
      <c r="B13" s="4"/>
      <c r="C13" s="11" t="s">
        <v>17</v>
      </c>
      <c r="D13" s="9"/>
      <c r="E13" s="12"/>
      <c r="F13" s="3"/>
      <c r="G13" s="3"/>
    </row>
    <row r="14" ht="12.75" customHeight="1">
      <c r="B14" s="4"/>
      <c r="C14" s="11" t="s">
        <v>18</v>
      </c>
      <c r="D14" s="9"/>
      <c r="E14" s="12"/>
      <c r="F14" s="3"/>
      <c r="G14" s="3"/>
    </row>
    <row r="15" ht="12.75" customHeight="1">
      <c r="B15" s="4"/>
      <c r="C15" s="11" t="s">
        <v>19</v>
      </c>
      <c r="D15" s="9"/>
      <c r="E15" s="12"/>
      <c r="F15" s="3"/>
      <c r="G15" s="3"/>
    </row>
    <row r="16" ht="12.75" customHeight="1">
      <c r="B16" s="4"/>
      <c r="C16" s="11" t="s">
        <v>20</v>
      </c>
      <c r="D16" s="9"/>
      <c r="E16" s="12"/>
      <c r="F16" s="3"/>
      <c r="G16" s="3"/>
    </row>
    <row r="17" ht="12.75" customHeight="1">
      <c r="B17" s="4"/>
      <c r="C17" s="3"/>
      <c r="D17" s="3"/>
      <c r="E17" s="3"/>
      <c r="F17" s="3"/>
      <c r="G17" s="3"/>
    </row>
    <row r="18" ht="12.75" customHeight="1">
      <c r="B18" s="4" t="s">
        <v>21</v>
      </c>
      <c r="C18" s="3"/>
      <c r="D18" s="3"/>
      <c r="E18" s="3"/>
      <c r="F18" s="3"/>
      <c r="G18" s="3"/>
    </row>
    <row r="19" ht="12.75" customHeight="1">
      <c r="B19" s="4"/>
      <c r="C19" s="8" t="s">
        <v>22</v>
      </c>
      <c r="D19" s="9"/>
      <c r="E19" s="10" t="s">
        <v>23</v>
      </c>
      <c r="F19" s="3"/>
      <c r="G19" s="3"/>
    </row>
    <row r="20" ht="12.75" customHeight="1">
      <c r="B20" s="4"/>
      <c r="C20" s="11"/>
      <c r="D20" s="9"/>
      <c r="E20" s="12"/>
      <c r="F20" s="3"/>
      <c r="G20" s="3"/>
    </row>
    <row r="21" ht="12.75" customHeight="1">
      <c r="B21" s="4" t="s">
        <v>24</v>
      </c>
      <c r="C21" s="3"/>
      <c r="D21" s="3"/>
      <c r="E21" s="3"/>
      <c r="F21" s="3"/>
      <c r="G21" s="3"/>
    </row>
    <row r="22" ht="12.75" customHeight="1">
      <c r="B22" s="5" t="s">
        <v>25</v>
      </c>
      <c r="C22" s="13">
        <v>45880.0</v>
      </c>
      <c r="D22" s="3"/>
      <c r="E22" s="3"/>
      <c r="F22" s="3"/>
      <c r="G22" s="3"/>
    </row>
    <row r="23" ht="12.75" customHeight="1">
      <c r="B23" s="5" t="s">
        <v>26</v>
      </c>
      <c r="C23" s="13">
        <v>45984.0</v>
      </c>
      <c r="D23" s="3"/>
      <c r="E23" s="3"/>
      <c r="F23" s="3"/>
      <c r="G23" s="3"/>
    </row>
    <row r="24" ht="18.75" customHeight="1">
      <c r="B24" s="4"/>
      <c r="C24" s="14" t="s">
        <v>27</v>
      </c>
      <c r="D24" s="15"/>
      <c r="E24" s="16"/>
      <c r="F24" s="17" t="s">
        <v>28</v>
      </c>
      <c r="G24" s="16"/>
      <c r="H24" s="18" t="s">
        <v>29</v>
      </c>
    </row>
    <row r="25" ht="12.75" customHeight="1">
      <c r="B25" s="4"/>
      <c r="C25" s="19"/>
      <c r="D25" s="15"/>
      <c r="E25" s="16"/>
      <c r="F25" s="20"/>
      <c r="G25" s="16"/>
      <c r="H25" s="21"/>
    </row>
    <row r="26" ht="12.75" customHeight="1">
      <c r="B26" s="4"/>
      <c r="C26" s="19"/>
      <c r="D26" s="15"/>
      <c r="E26" s="16"/>
      <c r="F26" s="20"/>
      <c r="G26" s="16"/>
      <c r="H26" s="21"/>
    </row>
    <row r="27" ht="12.75" customHeight="1">
      <c r="B27" s="4" t="s">
        <v>30</v>
      </c>
      <c r="C27" s="3"/>
      <c r="D27" s="3"/>
      <c r="E27" s="3"/>
      <c r="F27" s="3"/>
      <c r="G27" s="3"/>
    </row>
    <row r="28" ht="105.0" customHeight="1">
      <c r="B28" s="4"/>
      <c r="C28" s="6" t="s">
        <v>31</v>
      </c>
    </row>
    <row r="29" ht="13.5" customHeight="1">
      <c r="B29" s="4" t="s">
        <v>32</v>
      </c>
    </row>
    <row r="30" ht="66.75" customHeight="1">
      <c r="C30" s="6" t="s">
        <v>33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8">
    <mergeCell ref="C6:K6"/>
    <mergeCell ref="C7:K7"/>
    <mergeCell ref="C11:D11"/>
    <mergeCell ref="C12:D12"/>
    <mergeCell ref="C13:D13"/>
    <mergeCell ref="C14:D14"/>
    <mergeCell ref="C15:D15"/>
    <mergeCell ref="C26:E26"/>
    <mergeCell ref="F26:G26"/>
    <mergeCell ref="C28:K28"/>
    <mergeCell ref="C30:K30"/>
    <mergeCell ref="C16:D16"/>
    <mergeCell ref="C19:D19"/>
    <mergeCell ref="C20:D20"/>
    <mergeCell ref="C24:E24"/>
    <mergeCell ref="F24:G24"/>
    <mergeCell ref="C25:E25"/>
    <mergeCell ref="F25:G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6.0"/>
    <col customWidth="1" min="2" max="2" width="15.88"/>
    <col customWidth="1" min="3" max="3" width="6.63"/>
    <col customWidth="1" min="4" max="4" width="9.63"/>
    <col customWidth="1" min="5" max="5" width="12.38"/>
    <col customWidth="1" min="6" max="6" width="17.0"/>
    <col customWidth="1" min="7" max="7" width="10.13"/>
    <col customWidth="1" min="8" max="8" width="9.63"/>
    <col customWidth="1" min="9" max="9" width="7.63"/>
    <col customWidth="1" min="10" max="10" width="8.63"/>
    <col customWidth="1" min="11" max="11" width="1.0"/>
    <col customWidth="1" min="12" max="116" width="2.63"/>
  </cols>
  <sheetData>
    <row r="1" ht="57.0" customHeight="1">
      <c r="A1" s="1" t="s">
        <v>34</v>
      </c>
      <c r="B1" s="22"/>
      <c r="C1" s="22"/>
      <c r="D1" s="22"/>
      <c r="E1" s="22"/>
      <c r="F1" s="23"/>
      <c r="G1" s="23"/>
      <c r="H1" s="23"/>
      <c r="I1" s="23"/>
      <c r="J1" s="24"/>
      <c r="K1" s="23"/>
      <c r="L1" s="25"/>
    </row>
    <row r="2" ht="11.25" customHeight="1">
      <c r="A2" s="26"/>
      <c r="B2" s="22"/>
      <c r="C2" s="22"/>
      <c r="D2" s="22"/>
      <c r="E2" s="22"/>
      <c r="F2" s="23"/>
      <c r="G2" s="23"/>
      <c r="H2" s="23"/>
      <c r="I2" s="23"/>
      <c r="J2" s="24"/>
      <c r="K2" s="23"/>
      <c r="L2" s="25" t="s">
        <v>35</v>
      </c>
    </row>
    <row r="3" ht="18.0" customHeight="1">
      <c r="A3" s="27" t="s">
        <v>36</v>
      </c>
      <c r="B3" s="28"/>
      <c r="C3" s="28"/>
      <c r="D3" s="29"/>
      <c r="E3" s="29"/>
      <c r="F3" s="28"/>
      <c r="G3" s="28"/>
      <c r="H3" s="28"/>
      <c r="I3" s="30"/>
      <c r="J3" s="28"/>
      <c r="K3" s="23"/>
      <c r="L3" s="31"/>
      <c r="M3" s="23"/>
      <c r="N3" s="23" t="s">
        <v>37</v>
      </c>
      <c r="O3" s="23"/>
      <c r="P3" s="23"/>
      <c r="Q3" s="23"/>
      <c r="R3" s="23"/>
      <c r="S3" s="32"/>
      <c r="T3" s="23"/>
      <c r="U3" s="23" t="s">
        <v>38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G3" s="33"/>
      <c r="AI3" s="23" t="s">
        <v>39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</row>
    <row r="4" ht="18.0" customHeight="1">
      <c r="A4" s="27" t="s">
        <v>40</v>
      </c>
      <c r="B4" s="28"/>
      <c r="C4" s="28"/>
      <c r="D4" s="29"/>
      <c r="E4" s="29"/>
      <c r="F4" s="28"/>
      <c r="G4" s="28"/>
      <c r="H4" s="28"/>
      <c r="I4" s="30"/>
      <c r="J4" s="28"/>
      <c r="K4" s="23"/>
      <c r="L4" s="31"/>
      <c r="M4" s="23"/>
      <c r="N4" s="23" t="s">
        <v>41</v>
      </c>
      <c r="O4" s="23"/>
      <c r="P4" s="23"/>
      <c r="Q4" s="23"/>
      <c r="R4" s="23"/>
      <c r="S4" s="34"/>
      <c r="T4" s="23"/>
      <c r="U4" s="23" t="s">
        <v>42</v>
      </c>
      <c r="V4" s="23"/>
      <c r="W4" s="23"/>
      <c r="X4" s="23"/>
      <c r="Y4" s="23"/>
      <c r="Z4" s="23"/>
      <c r="AA4" s="23"/>
      <c r="AB4" s="23"/>
      <c r="AC4" s="23"/>
      <c r="AD4" s="23"/>
      <c r="AE4" s="23"/>
      <c r="AG4" s="31"/>
      <c r="AI4" s="23" t="s">
        <v>43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</row>
    <row r="5" ht="18.0" customHeight="1">
      <c r="A5" s="35"/>
      <c r="B5" s="36"/>
      <c r="C5" s="36"/>
      <c r="D5" s="37"/>
      <c r="E5" s="37"/>
      <c r="F5" s="38"/>
      <c r="G5" s="23"/>
      <c r="H5" s="23"/>
      <c r="I5" s="39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</row>
    <row r="6" ht="12.75" customHeight="1">
      <c r="A6" s="35"/>
      <c r="B6" s="23"/>
      <c r="C6" s="23"/>
      <c r="D6" s="23"/>
      <c r="E6" s="23"/>
      <c r="F6" s="23"/>
      <c r="G6" s="23"/>
      <c r="H6" s="23"/>
      <c r="I6" s="39"/>
      <c r="J6" s="23"/>
      <c r="K6" s="23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</row>
    <row r="7" ht="17.25" customHeight="1">
      <c r="A7" s="23"/>
      <c r="B7" s="41" t="s">
        <v>44</v>
      </c>
      <c r="C7" s="42">
        <v>46032.0</v>
      </c>
      <c r="E7" s="23"/>
      <c r="G7" s="43"/>
      <c r="H7" s="41" t="s">
        <v>45</v>
      </c>
      <c r="I7" s="44">
        <v>1.0</v>
      </c>
      <c r="J7" s="23"/>
      <c r="K7" s="23"/>
      <c r="L7" s="45" t="str">
        <f>"Tuần "&amp;(L9-($C$7-WEEKDAY($C$7,1)+2))/7+1</f>
        <v>Tuần 1</v>
      </c>
      <c r="R7" s="46"/>
      <c r="S7" s="45" t="str">
        <f>"Tuần "&amp;(S9-($C$7-WEEKDAY($C$7,1)+2))/7+1</f>
        <v>Tuần 2</v>
      </c>
      <c r="Y7" s="46"/>
      <c r="Z7" s="45" t="str">
        <f>"Tuần "&amp;(Z9-($C$7-WEEKDAY($C$7,1)+2))/7+1</f>
        <v>Tuần 3</v>
      </c>
      <c r="AF7" s="46"/>
      <c r="AG7" s="45" t="str">
        <f>"Tuần "&amp;(AG9-($C$7-WEEKDAY($C$7,1)+2))/7+1</f>
        <v>Tuần 4</v>
      </c>
      <c r="AM7" s="46"/>
      <c r="AN7" s="45" t="str">
        <f>"Tuần "&amp;(AN9-($C$7-WEEKDAY($C$7,1)+2))/7+1</f>
        <v>Tuần 5</v>
      </c>
      <c r="AT7" s="46"/>
      <c r="AU7" s="45" t="str">
        <f>"Tuần "&amp;(AU9-($C$7-WEEKDAY($C$7,1)+2))/7+1</f>
        <v>Tuần 6</v>
      </c>
      <c r="BA7" s="46"/>
      <c r="BB7" s="45" t="str">
        <f>"Tuần "&amp;(BB9-($C$7-WEEKDAY($C$7,1)+2))/7+1</f>
        <v>Tuần 7</v>
      </c>
      <c r="BH7" s="46"/>
      <c r="BI7" s="45" t="str">
        <f>"Tuần "&amp;(BI9-($C$7-WEEKDAY($C$7,1)+2))/7+1</f>
        <v>Tuần 8</v>
      </c>
      <c r="BO7" s="46"/>
      <c r="BP7" s="45" t="str">
        <f>"Tuần "&amp;(BP9-($C$7-WEEKDAY($C$7,1)+2))/7+1</f>
        <v>Tuần 9</v>
      </c>
      <c r="BV7" s="46"/>
      <c r="BW7" s="45" t="str">
        <f>"Tuần "&amp;(BW9-($C$7-WEEKDAY($C$7,1)+2))/7+1</f>
        <v>Tuần 10</v>
      </c>
      <c r="CC7" s="46"/>
      <c r="CD7" s="45" t="str">
        <f>"Tuần "&amp;(CD9-($C$7-WEEKDAY($C$7,1)+2))/7+1</f>
        <v>Tuần 11</v>
      </c>
      <c r="CJ7" s="46"/>
      <c r="CK7" s="45" t="str">
        <f>"Tuần "&amp;(CK9-($C$7-WEEKDAY($C$7,1)+2))/7+1</f>
        <v>Tuần 12</v>
      </c>
      <c r="CQ7" s="46"/>
      <c r="CR7" s="45" t="str">
        <f>"Tuần "&amp;(CR9-($C$7-WEEKDAY($C$7,1)+2))/7+1</f>
        <v>Tuần 13</v>
      </c>
      <c r="CX7" s="46"/>
      <c r="CY7" s="45" t="str">
        <f>"Tuần "&amp;(CY9-($C$7-WEEKDAY($C$7,1)+2))/7+1</f>
        <v>Tuần 14</v>
      </c>
      <c r="DE7" s="46"/>
      <c r="DF7" s="45" t="str">
        <f>"Tuần "&amp;(DF9-($C$7-WEEKDAY($C$7,1)+2))/7+1</f>
        <v>Tuần 15</v>
      </c>
      <c r="DL7" s="46"/>
    </row>
    <row r="8" ht="17.25" customHeight="1">
      <c r="A8" s="23"/>
      <c r="B8" s="24"/>
      <c r="C8" s="47"/>
      <c r="E8" s="23"/>
      <c r="F8" s="23"/>
      <c r="G8" s="23"/>
      <c r="H8" s="23"/>
      <c r="I8" s="23"/>
      <c r="J8" s="23"/>
      <c r="K8" s="23"/>
      <c r="L8" s="48">
        <f>L9</f>
        <v>46027</v>
      </c>
      <c r="R8" s="46"/>
      <c r="S8" s="48">
        <f>S9</f>
        <v>46034</v>
      </c>
      <c r="Y8" s="46"/>
      <c r="Z8" s="48">
        <f>Z9</f>
        <v>46041</v>
      </c>
      <c r="AF8" s="46"/>
      <c r="AG8" s="48">
        <f>AG9</f>
        <v>46048</v>
      </c>
      <c r="AM8" s="46"/>
      <c r="AN8" s="48">
        <f>AN9</f>
        <v>46055</v>
      </c>
      <c r="AT8" s="46"/>
      <c r="AU8" s="48">
        <f>AU9</f>
        <v>46062</v>
      </c>
      <c r="BA8" s="46"/>
      <c r="BB8" s="48">
        <f>BB9</f>
        <v>46069</v>
      </c>
      <c r="BH8" s="46"/>
      <c r="BI8" s="48">
        <f>BI9</f>
        <v>46076</v>
      </c>
      <c r="BO8" s="46"/>
      <c r="BP8" s="48">
        <f>BP9</f>
        <v>46083</v>
      </c>
      <c r="BV8" s="46"/>
      <c r="BW8" s="48">
        <f>BW9</f>
        <v>46090</v>
      </c>
      <c r="CC8" s="46"/>
      <c r="CD8" s="48">
        <f>CD9</f>
        <v>46097</v>
      </c>
      <c r="CJ8" s="46"/>
      <c r="CK8" s="48">
        <f>CK9</f>
        <v>46104</v>
      </c>
      <c r="CQ8" s="46"/>
      <c r="CR8" s="48">
        <f>CR9</f>
        <v>46111</v>
      </c>
      <c r="CX8" s="46"/>
      <c r="CY8" s="48">
        <f>CY9</f>
        <v>46118</v>
      </c>
      <c r="DE8" s="46"/>
      <c r="DF8" s="48">
        <f>DF9</f>
        <v>46125</v>
      </c>
      <c r="DL8" s="46"/>
    </row>
    <row r="9" ht="12.75" customHeight="1">
      <c r="A9" s="49" t="s">
        <v>46</v>
      </c>
      <c r="B9" s="49" t="s">
        <v>47</v>
      </c>
      <c r="C9" s="50" t="s">
        <v>48</v>
      </c>
      <c r="D9" s="51" t="s">
        <v>37</v>
      </c>
      <c r="E9" s="52"/>
      <c r="F9" s="50" t="s">
        <v>49</v>
      </c>
      <c r="G9" s="51" t="s">
        <v>41</v>
      </c>
      <c r="H9" s="52"/>
      <c r="I9" s="50" t="s">
        <v>50</v>
      </c>
      <c r="J9" s="50" t="s">
        <v>51</v>
      </c>
      <c r="K9" s="23"/>
      <c r="L9" s="53">
        <f>C7-WEEKDAY(C7,1)+2+7*(I7-1)</f>
        <v>46027</v>
      </c>
      <c r="M9" s="54">
        <f t="shared" ref="M9:DL9" si="1">L9+1</f>
        <v>46028</v>
      </c>
      <c r="N9" s="54">
        <f t="shared" si="1"/>
        <v>46029</v>
      </c>
      <c r="O9" s="54">
        <f t="shared" si="1"/>
        <v>46030</v>
      </c>
      <c r="P9" s="54">
        <f t="shared" si="1"/>
        <v>46031</v>
      </c>
      <c r="Q9" s="54">
        <f t="shared" si="1"/>
        <v>46032</v>
      </c>
      <c r="R9" s="55">
        <f t="shared" si="1"/>
        <v>46033</v>
      </c>
      <c r="S9" s="53">
        <f t="shared" si="1"/>
        <v>46034</v>
      </c>
      <c r="T9" s="54">
        <f t="shared" si="1"/>
        <v>46035</v>
      </c>
      <c r="U9" s="54">
        <f t="shared" si="1"/>
        <v>46036</v>
      </c>
      <c r="V9" s="54">
        <f t="shared" si="1"/>
        <v>46037</v>
      </c>
      <c r="W9" s="54">
        <f t="shared" si="1"/>
        <v>46038</v>
      </c>
      <c r="X9" s="54">
        <f t="shared" si="1"/>
        <v>46039</v>
      </c>
      <c r="Y9" s="55">
        <f t="shared" si="1"/>
        <v>46040</v>
      </c>
      <c r="Z9" s="53">
        <f t="shared" si="1"/>
        <v>46041</v>
      </c>
      <c r="AA9" s="54">
        <f t="shared" si="1"/>
        <v>46042</v>
      </c>
      <c r="AB9" s="54">
        <f t="shared" si="1"/>
        <v>46043</v>
      </c>
      <c r="AC9" s="54">
        <f t="shared" si="1"/>
        <v>46044</v>
      </c>
      <c r="AD9" s="54">
        <f t="shared" si="1"/>
        <v>46045</v>
      </c>
      <c r="AE9" s="54">
        <f t="shared" si="1"/>
        <v>46046</v>
      </c>
      <c r="AF9" s="55">
        <f t="shared" si="1"/>
        <v>46047</v>
      </c>
      <c r="AG9" s="53">
        <f t="shared" si="1"/>
        <v>46048</v>
      </c>
      <c r="AH9" s="54">
        <f t="shared" si="1"/>
        <v>46049</v>
      </c>
      <c r="AI9" s="54">
        <f t="shared" si="1"/>
        <v>46050</v>
      </c>
      <c r="AJ9" s="54">
        <f t="shared" si="1"/>
        <v>46051</v>
      </c>
      <c r="AK9" s="54">
        <f t="shared" si="1"/>
        <v>46052</v>
      </c>
      <c r="AL9" s="54">
        <f t="shared" si="1"/>
        <v>46053</v>
      </c>
      <c r="AM9" s="55">
        <f t="shared" si="1"/>
        <v>46054</v>
      </c>
      <c r="AN9" s="53">
        <f t="shared" si="1"/>
        <v>46055</v>
      </c>
      <c r="AO9" s="54">
        <f t="shared" si="1"/>
        <v>46056</v>
      </c>
      <c r="AP9" s="54">
        <f t="shared" si="1"/>
        <v>46057</v>
      </c>
      <c r="AQ9" s="54">
        <f t="shared" si="1"/>
        <v>46058</v>
      </c>
      <c r="AR9" s="54">
        <f t="shared" si="1"/>
        <v>46059</v>
      </c>
      <c r="AS9" s="54">
        <f t="shared" si="1"/>
        <v>46060</v>
      </c>
      <c r="AT9" s="55">
        <f t="shared" si="1"/>
        <v>46061</v>
      </c>
      <c r="AU9" s="53">
        <f t="shared" si="1"/>
        <v>46062</v>
      </c>
      <c r="AV9" s="54">
        <f t="shared" si="1"/>
        <v>46063</v>
      </c>
      <c r="AW9" s="54">
        <f t="shared" si="1"/>
        <v>46064</v>
      </c>
      <c r="AX9" s="54">
        <f t="shared" si="1"/>
        <v>46065</v>
      </c>
      <c r="AY9" s="54">
        <f t="shared" si="1"/>
        <v>46066</v>
      </c>
      <c r="AZ9" s="54">
        <f t="shared" si="1"/>
        <v>46067</v>
      </c>
      <c r="BA9" s="55">
        <f t="shared" si="1"/>
        <v>46068</v>
      </c>
      <c r="BB9" s="53">
        <f t="shared" si="1"/>
        <v>46069</v>
      </c>
      <c r="BC9" s="54">
        <f t="shared" si="1"/>
        <v>46070</v>
      </c>
      <c r="BD9" s="54">
        <f t="shared" si="1"/>
        <v>46071</v>
      </c>
      <c r="BE9" s="54">
        <f t="shared" si="1"/>
        <v>46072</v>
      </c>
      <c r="BF9" s="54">
        <f t="shared" si="1"/>
        <v>46073</v>
      </c>
      <c r="BG9" s="54">
        <f t="shared" si="1"/>
        <v>46074</v>
      </c>
      <c r="BH9" s="55">
        <f t="shared" si="1"/>
        <v>46075</v>
      </c>
      <c r="BI9" s="53">
        <f t="shared" si="1"/>
        <v>46076</v>
      </c>
      <c r="BJ9" s="54">
        <f t="shared" si="1"/>
        <v>46077</v>
      </c>
      <c r="BK9" s="54">
        <f t="shared" si="1"/>
        <v>46078</v>
      </c>
      <c r="BL9" s="54">
        <f t="shared" si="1"/>
        <v>46079</v>
      </c>
      <c r="BM9" s="54">
        <f t="shared" si="1"/>
        <v>46080</v>
      </c>
      <c r="BN9" s="54">
        <f t="shared" si="1"/>
        <v>46081</v>
      </c>
      <c r="BO9" s="55">
        <f t="shared" si="1"/>
        <v>46082</v>
      </c>
      <c r="BP9" s="53">
        <f t="shared" si="1"/>
        <v>46083</v>
      </c>
      <c r="BQ9" s="54">
        <f t="shared" si="1"/>
        <v>46084</v>
      </c>
      <c r="BR9" s="54">
        <f t="shared" si="1"/>
        <v>46085</v>
      </c>
      <c r="BS9" s="54">
        <f t="shared" si="1"/>
        <v>46086</v>
      </c>
      <c r="BT9" s="54">
        <f t="shared" si="1"/>
        <v>46087</v>
      </c>
      <c r="BU9" s="54">
        <f t="shared" si="1"/>
        <v>46088</v>
      </c>
      <c r="BV9" s="55">
        <f t="shared" si="1"/>
        <v>46089</v>
      </c>
      <c r="BW9" s="53">
        <f t="shared" si="1"/>
        <v>46090</v>
      </c>
      <c r="BX9" s="54">
        <f t="shared" si="1"/>
        <v>46091</v>
      </c>
      <c r="BY9" s="54">
        <f t="shared" si="1"/>
        <v>46092</v>
      </c>
      <c r="BZ9" s="54">
        <f t="shared" si="1"/>
        <v>46093</v>
      </c>
      <c r="CA9" s="54">
        <f t="shared" si="1"/>
        <v>46094</v>
      </c>
      <c r="CB9" s="54">
        <f t="shared" si="1"/>
        <v>46095</v>
      </c>
      <c r="CC9" s="55">
        <f t="shared" si="1"/>
        <v>46096</v>
      </c>
      <c r="CD9" s="53">
        <f t="shared" si="1"/>
        <v>46097</v>
      </c>
      <c r="CE9" s="54">
        <f t="shared" si="1"/>
        <v>46098</v>
      </c>
      <c r="CF9" s="54">
        <f t="shared" si="1"/>
        <v>46099</v>
      </c>
      <c r="CG9" s="54">
        <f t="shared" si="1"/>
        <v>46100</v>
      </c>
      <c r="CH9" s="54">
        <f t="shared" si="1"/>
        <v>46101</v>
      </c>
      <c r="CI9" s="54">
        <f t="shared" si="1"/>
        <v>46102</v>
      </c>
      <c r="CJ9" s="55">
        <f t="shared" si="1"/>
        <v>46103</v>
      </c>
      <c r="CK9" s="53">
        <f t="shared" si="1"/>
        <v>46104</v>
      </c>
      <c r="CL9" s="54">
        <f t="shared" si="1"/>
        <v>46105</v>
      </c>
      <c r="CM9" s="54">
        <f t="shared" si="1"/>
        <v>46106</v>
      </c>
      <c r="CN9" s="54">
        <f t="shared" si="1"/>
        <v>46107</v>
      </c>
      <c r="CO9" s="54">
        <f t="shared" si="1"/>
        <v>46108</v>
      </c>
      <c r="CP9" s="54">
        <f t="shared" si="1"/>
        <v>46109</v>
      </c>
      <c r="CQ9" s="55">
        <f t="shared" si="1"/>
        <v>46110</v>
      </c>
      <c r="CR9" s="53">
        <f t="shared" si="1"/>
        <v>46111</v>
      </c>
      <c r="CS9" s="54">
        <f t="shared" si="1"/>
        <v>46112</v>
      </c>
      <c r="CT9" s="54">
        <f t="shared" si="1"/>
        <v>46113</v>
      </c>
      <c r="CU9" s="54">
        <f t="shared" si="1"/>
        <v>46114</v>
      </c>
      <c r="CV9" s="54">
        <f t="shared" si="1"/>
        <v>46115</v>
      </c>
      <c r="CW9" s="54">
        <f t="shared" si="1"/>
        <v>46116</v>
      </c>
      <c r="CX9" s="55">
        <f t="shared" si="1"/>
        <v>46117</v>
      </c>
      <c r="CY9" s="53">
        <f t="shared" si="1"/>
        <v>46118</v>
      </c>
      <c r="CZ9" s="54">
        <f t="shared" si="1"/>
        <v>46119</v>
      </c>
      <c r="DA9" s="54">
        <f t="shared" si="1"/>
        <v>46120</v>
      </c>
      <c r="DB9" s="54">
        <f t="shared" si="1"/>
        <v>46121</v>
      </c>
      <c r="DC9" s="54">
        <f t="shared" si="1"/>
        <v>46122</v>
      </c>
      <c r="DD9" s="54">
        <f t="shared" si="1"/>
        <v>46123</v>
      </c>
      <c r="DE9" s="55">
        <f t="shared" si="1"/>
        <v>46124</v>
      </c>
      <c r="DF9" s="53">
        <f t="shared" si="1"/>
        <v>46125</v>
      </c>
      <c r="DG9" s="54">
        <f t="shared" si="1"/>
        <v>46126</v>
      </c>
      <c r="DH9" s="54">
        <f t="shared" si="1"/>
        <v>46127</v>
      </c>
      <c r="DI9" s="54">
        <f t="shared" si="1"/>
        <v>46128</v>
      </c>
      <c r="DJ9" s="54">
        <f t="shared" si="1"/>
        <v>46129</v>
      </c>
      <c r="DK9" s="54">
        <f t="shared" si="1"/>
        <v>46130</v>
      </c>
      <c r="DL9" s="55">
        <f t="shared" si="1"/>
        <v>46131</v>
      </c>
    </row>
    <row r="10" ht="12.75" customHeight="1">
      <c r="A10" s="56"/>
      <c r="B10" s="56"/>
      <c r="C10" s="56"/>
      <c r="D10" s="57" t="s">
        <v>28</v>
      </c>
      <c r="E10" s="57" t="s">
        <v>29</v>
      </c>
      <c r="F10" s="56"/>
      <c r="G10" s="57" t="s">
        <v>28</v>
      </c>
      <c r="H10" s="57" t="s">
        <v>29</v>
      </c>
      <c r="I10" s="56"/>
      <c r="J10" s="56"/>
      <c r="K10" s="23"/>
      <c r="L10" s="58" t="str">
        <f t="shared" ref="L10:DL10" si="2">CHOOSE(WEEKDAY(L9,1),"S","M","T","W","T","F","S")</f>
        <v>M</v>
      </c>
      <c r="M10" s="59" t="str">
        <f t="shared" si="2"/>
        <v>T</v>
      </c>
      <c r="N10" s="59" t="str">
        <f t="shared" si="2"/>
        <v>W</v>
      </c>
      <c r="O10" s="59" t="str">
        <f t="shared" si="2"/>
        <v>T</v>
      </c>
      <c r="P10" s="59" t="str">
        <f t="shared" si="2"/>
        <v>F</v>
      </c>
      <c r="Q10" s="59" t="str">
        <f t="shared" si="2"/>
        <v>S</v>
      </c>
      <c r="R10" s="60" t="str">
        <f t="shared" si="2"/>
        <v>S</v>
      </c>
      <c r="S10" s="58" t="str">
        <f t="shared" si="2"/>
        <v>M</v>
      </c>
      <c r="T10" s="59" t="str">
        <f t="shared" si="2"/>
        <v>T</v>
      </c>
      <c r="U10" s="59" t="str">
        <f t="shared" si="2"/>
        <v>W</v>
      </c>
      <c r="V10" s="59" t="str">
        <f t="shared" si="2"/>
        <v>T</v>
      </c>
      <c r="W10" s="59" t="str">
        <f t="shared" si="2"/>
        <v>F</v>
      </c>
      <c r="X10" s="59" t="str">
        <f t="shared" si="2"/>
        <v>S</v>
      </c>
      <c r="Y10" s="60" t="str">
        <f t="shared" si="2"/>
        <v>S</v>
      </c>
      <c r="Z10" s="58" t="str">
        <f t="shared" si="2"/>
        <v>M</v>
      </c>
      <c r="AA10" s="59" t="str">
        <f t="shared" si="2"/>
        <v>T</v>
      </c>
      <c r="AB10" s="59" t="str">
        <f t="shared" si="2"/>
        <v>W</v>
      </c>
      <c r="AC10" s="59" t="str">
        <f t="shared" si="2"/>
        <v>T</v>
      </c>
      <c r="AD10" s="59" t="str">
        <f t="shared" si="2"/>
        <v>F</v>
      </c>
      <c r="AE10" s="59" t="str">
        <f t="shared" si="2"/>
        <v>S</v>
      </c>
      <c r="AF10" s="60" t="str">
        <f t="shared" si="2"/>
        <v>S</v>
      </c>
      <c r="AG10" s="58" t="str">
        <f t="shared" si="2"/>
        <v>M</v>
      </c>
      <c r="AH10" s="59" t="str">
        <f t="shared" si="2"/>
        <v>T</v>
      </c>
      <c r="AI10" s="59" t="str">
        <f t="shared" si="2"/>
        <v>W</v>
      </c>
      <c r="AJ10" s="59" t="str">
        <f t="shared" si="2"/>
        <v>T</v>
      </c>
      <c r="AK10" s="59" t="str">
        <f t="shared" si="2"/>
        <v>F</v>
      </c>
      <c r="AL10" s="59" t="str">
        <f t="shared" si="2"/>
        <v>S</v>
      </c>
      <c r="AM10" s="60" t="str">
        <f t="shared" si="2"/>
        <v>S</v>
      </c>
      <c r="AN10" s="58" t="str">
        <f t="shared" si="2"/>
        <v>M</v>
      </c>
      <c r="AO10" s="59" t="str">
        <f t="shared" si="2"/>
        <v>T</v>
      </c>
      <c r="AP10" s="59" t="str">
        <f t="shared" si="2"/>
        <v>W</v>
      </c>
      <c r="AQ10" s="59" t="str">
        <f t="shared" si="2"/>
        <v>T</v>
      </c>
      <c r="AR10" s="59" t="str">
        <f t="shared" si="2"/>
        <v>F</v>
      </c>
      <c r="AS10" s="59" t="str">
        <f t="shared" si="2"/>
        <v>S</v>
      </c>
      <c r="AT10" s="60" t="str">
        <f t="shared" si="2"/>
        <v>S</v>
      </c>
      <c r="AU10" s="58" t="str">
        <f t="shared" si="2"/>
        <v>M</v>
      </c>
      <c r="AV10" s="59" t="str">
        <f t="shared" si="2"/>
        <v>T</v>
      </c>
      <c r="AW10" s="59" t="str">
        <f t="shared" si="2"/>
        <v>W</v>
      </c>
      <c r="AX10" s="59" t="str">
        <f t="shared" si="2"/>
        <v>T</v>
      </c>
      <c r="AY10" s="59" t="str">
        <f t="shared" si="2"/>
        <v>F</v>
      </c>
      <c r="AZ10" s="59" t="str">
        <f t="shared" si="2"/>
        <v>S</v>
      </c>
      <c r="BA10" s="60" t="str">
        <f t="shared" si="2"/>
        <v>S</v>
      </c>
      <c r="BB10" s="58" t="str">
        <f t="shared" si="2"/>
        <v>M</v>
      </c>
      <c r="BC10" s="59" t="str">
        <f t="shared" si="2"/>
        <v>T</v>
      </c>
      <c r="BD10" s="59" t="str">
        <f t="shared" si="2"/>
        <v>W</v>
      </c>
      <c r="BE10" s="59" t="str">
        <f t="shared" si="2"/>
        <v>T</v>
      </c>
      <c r="BF10" s="59" t="str">
        <f t="shared" si="2"/>
        <v>F</v>
      </c>
      <c r="BG10" s="59" t="str">
        <f t="shared" si="2"/>
        <v>S</v>
      </c>
      <c r="BH10" s="60" t="str">
        <f t="shared" si="2"/>
        <v>S</v>
      </c>
      <c r="BI10" s="58" t="str">
        <f t="shared" si="2"/>
        <v>M</v>
      </c>
      <c r="BJ10" s="59" t="str">
        <f t="shared" si="2"/>
        <v>T</v>
      </c>
      <c r="BK10" s="59" t="str">
        <f t="shared" si="2"/>
        <v>W</v>
      </c>
      <c r="BL10" s="59" t="str">
        <f t="shared" si="2"/>
        <v>T</v>
      </c>
      <c r="BM10" s="59" t="str">
        <f t="shared" si="2"/>
        <v>F</v>
      </c>
      <c r="BN10" s="59" t="str">
        <f t="shared" si="2"/>
        <v>S</v>
      </c>
      <c r="BO10" s="60" t="str">
        <f t="shared" si="2"/>
        <v>S</v>
      </c>
      <c r="BP10" s="58" t="str">
        <f t="shared" si="2"/>
        <v>M</v>
      </c>
      <c r="BQ10" s="59" t="str">
        <f t="shared" si="2"/>
        <v>T</v>
      </c>
      <c r="BR10" s="59" t="str">
        <f t="shared" si="2"/>
        <v>W</v>
      </c>
      <c r="BS10" s="59" t="str">
        <f t="shared" si="2"/>
        <v>T</v>
      </c>
      <c r="BT10" s="59" t="str">
        <f t="shared" si="2"/>
        <v>F</v>
      </c>
      <c r="BU10" s="59" t="str">
        <f t="shared" si="2"/>
        <v>S</v>
      </c>
      <c r="BV10" s="60" t="str">
        <f t="shared" si="2"/>
        <v>S</v>
      </c>
      <c r="BW10" s="58" t="str">
        <f t="shared" si="2"/>
        <v>M</v>
      </c>
      <c r="BX10" s="59" t="str">
        <f t="shared" si="2"/>
        <v>T</v>
      </c>
      <c r="BY10" s="59" t="str">
        <f t="shared" si="2"/>
        <v>W</v>
      </c>
      <c r="BZ10" s="59" t="str">
        <f t="shared" si="2"/>
        <v>T</v>
      </c>
      <c r="CA10" s="59" t="str">
        <f t="shared" si="2"/>
        <v>F</v>
      </c>
      <c r="CB10" s="59" t="str">
        <f t="shared" si="2"/>
        <v>S</v>
      </c>
      <c r="CC10" s="60" t="str">
        <f t="shared" si="2"/>
        <v>S</v>
      </c>
      <c r="CD10" s="58" t="str">
        <f t="shared" si="2"/>
        <v>M</v>
      </c>
      <c r="CE10" s="59" t="str">
        <f t="shared" si="2"/>
        <v>T</v>
      </c>
      <c r="CF10" s="59" t="str">
        <f t="shared" si="2"/>
        <v>W</v>
      </c>
      <c r="CG10" s="59" t="str">
        <f t="shared" si="2"/>
        <v>T</v>
      </c>
      <c r="CH10" s="59" t="str">
        <f t="shared" si="2"/>
        <v>F</v>
      </c>
      <c r="CI10" s="59" t="str">
        <f t="shared" si="2"/>
        <v>S</v>
      </c>
      <c r="CJ10" s="60" t="str">
        <f t="shared" si="2"/>
        <v>S</v>
      </c>
      <c r="CK10" s="58" t="str">
        <f t="shared" si="2"/>
        <v>M</v>
      </c>
      <c r="CL10" s="59" t="str">
        <f t="shared" si="2"/>
        <v>T</v>
      </c>
      <c r="CM10" s="59" t="str">
        <f t="shared" si="2"/>
        <v>W</v>
      </c>
      <c r="CN10" s="59" t="str">
        <f t="shared" si="2"/>
        <v>T</v>
      </c>
      <c r="CO10" s="59" t="str">
        <f t="shared" si="2"/>
        <v>F</v>
      </c>
      <c r="CP10" s="59" t="str">
        <f t="shared" si="2"/>
        <v>S</v>
      </c>
      <c r="CQ10" s="60" t="str">
        <f t="shared" si="2"/>
        <v>S</v>
      </c>
      <c r="CR10" s="58" t="str">
        <f t="shared" si="2"/>
        <v>M</v>
      </c>
      <c r="CS10" s="59" t="str">
        <f t="shared" si="2"/>
        <v>T</v>
      </c>
      <c r="CT10" s="59" t="str">
        <f t="shared" si="2"/>
        <v>W</v>
      </c>
      <c r="CU10" s="59" t="str">
        <f t="shared" si="2"/>
        <v>T</v>
      </c>
      <c r="CV10" s="59" t="str">
        <f t="shared" si="2"/>
        <v>F</v>
      </c>
      <c r="CW10" s="59" t="str">
        <f t="shared" si="2"/>
        <v>S</v>
      </c>
      <c r="CX10" s="60" t="str">
        <f t="shared" si="2"/>
        <v>S</v>
      </c>
      <c r="CY10" s="58" t="str">
        <f t="shared" si="2"/>
        <v>M</v>
      </c>
      <c r="CZ10" s="59" t="str">
        <f t="shared" si="2"/>
        <v>T</v>
      </c>
      <c r="DA10" s="59" t="str">
        <f t="shared" si="2"/>
        <v>W</v>
      </c>
      <c r="DB10" s="59" t="str">
        <f t="shared" si="2"/>
        <v>T</v>
      </c>
      <c r="DC10" s="59" t="str">
        <f t="shared" si="2"/>
        <v>F</v>
      </c>
      <c r="DD10" s="59" t="str">
        <f t="shared" si="2"/>
        <v>S</v>
      </c>
      <c r="DE10" s="60" t="str">
        <f t="shared" si="2"/>
        <v>S</v>
      </c>
      <c r="DF10" s="58" t="str">
        <f t="shared" si="2"/>
        <v>M</v>
      </c>
      <c r="DG10" s="59" t="str">
        <f t="shared" si="2"/>
        <v>T</v>
      </c>
      <c r="DH10" s="59" t="str">
        <f t="shared" si="2"/>
        <v>W</v>
      </c>
      <c r="DI10" s="59" t="str">
        <f t="shared" si="2"/>
        <v>T</v>
      </c>
      <c r="DJ10" s="59" t="str">
        <f t="shared" si="2"/>
        <v>F</v>
      </c>
      <c r="DK10" s="59" t="str">
        <f t="shared" si="2"/>
        <v>S</v>
      </c>
      <c r="DL10" s="60" t="str">
        <f t="shared" si="2"/>
        <v>S</v>
      </c>
    </row>
    <row r="11" ht="12.75" customHeight="1">
      <c r="A11" s="61" t="str">
        <f>IF(ISERROR(VALUE(SUBSTITUTE(OFFSET(A11,-1,0,1,1),".",""))),"1",IF(ISERROR(FIND("`",SUBSTITUTE(OFFSET(A11,-1,0,1,1),".","`",1))),TEXT(VALUE(OFFSET(A11,-1,0,1,1))+1,"#"),TEXT(VALUE(LEFT(OFFSET(A11,-1,0,1,1),FIND("`",SUBSTITUTE(OFFSET(A11,-1,0,1,1),".","`",1))-1))+1,"#")))</f>
        <v>1</v>
      </c>
      <c r="B11" s="62" t="s">
        <v>52</v>
      </c>
      <c r="C11" s="63"/>
      <c r="D11" s="64"/>
      <c r="E11" s="65" t="str">
        <f>IF(ISBLANK(D11)," - ",IF(F11=0,D11,D11+F11-1))</f>
        <v> - </v>
      </c>
      <c r="F11" s="66"/>
      <c r="G11" s="66"/>
      <c r="H11" s="66"/>
      <c r="I11" s="67"/>
      <c r="J11" s="66" t="str">
        <f>IF(OR(E11=0,D11=0)," - ",NETWORKDAYS(D11,E11))</f>
        <v> - </v>
      </c>
      <c r="K11" s="68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  <c r="CS11" s="69"/>
      <c r="CT11" s="69"/>
      <c r="CU11" s="69"/>
      <c r="CV11" s="69"/>
      <c r="CW11" s="69"/>
      <c r="CX11" s="69"/>
      <c r="CY11" s="69"/>
      <c r="CZ11" s="69"/>
      <c r="DA11" s="69"/>
      <c r="DB11" s="69"/>
      <c r="DC11" s="69"/>
      <c r="DD11" s="69"/>
      <c r="DE11" s="69"/>
      <c r="DF11" s="69"/>
      <c r="DG11" s="69"/>
      <c r="DH11" s="69"/>
      <c r="DI11" s="69"/>
      <c r="DJ11" s="69"/>
      <c r="DK11" s="69"/>
      <c r="DL11" s="69"/>
    </row>
    <row r="12" ht="12.75" customHeight="1">
      <c r="A12" s="70" t="str">
        <f t="shared" ref="A12:A18" si="3">IF(ISERROR(VALUE(SUBSTITUTE(OFFSET(A12,-1,0,1,1),".",""))),"0.1",IF(ISERROR(FIND("`",SUBSTITUTE(OFFSET(A12,-1,0,1,1),".","`",1))),OFFSET(A12,-1,0,1,1)&amp;".1",LEFT(OFFSET(A12,-1,0,1,1),FIND("`",SUBSTITUTE(OFFSET(A12,-1,0,1,1),".","`",1)))&amp;IF(ISERROR(FIND("`",SUBSTITUTE(OFFSET(A12,-1,0,1,1),".","`",2))),VALUE(RIGHT(OFFSET(A12,-1,0,1,1),LEN(OFFSET(A12,-1,0,1,1))-FIND("`",SUBSTITUTE(OFFSET(A12,-1,0,1,1),".","`",1))))+1,VALUE(MID(OFFSET(A12,-1,0,1,1),FIND("`",SUBSTITUTE(OFFSET(A12,-1,0,1,1),".","`",1))+1,(FIND("`",SUBSTITUTE(OFFSET(A12,-1,0,1,1),".","`",2))-FIND("`",SUBSTITUTE(OFFSET(A12,-1,0,1,1),".","`",1))-1)))+1)))</f>
        <v>1.1</v>
      </c>
      <c r="B12" s="71" t="s">
        <v>53</v>
      </c>
      <c r="C12" s="72">
        <v>2.0</v>
      </c>
      <c r="D12" s="73">
        <v>45866.0</v>
      </c>
      <c r="E12" s="73">
        <f>IF(C12=1,D12,D12+(C12-1))</f>
        <v>45867</v>
      </c>
      <c r="F12" s="74" t="s">
        <v>54</v>
      </c>
      <c r="G12" s="73">
        <v>45866.0</v>
      </c>
      <c r="H12" s="73">
        <v>45867.0</v>
      </c>
      <c r="I12" s="75">
        <v>1.0</v>
      </c>
      <c r="J12" s="72">
        <f t="shared" ref="J12:J18" si="4">IF(OR(H12=0,G12=0)," - ",NETWORKDAYS(G12,H12))</f>
        <v>2</v>
      </c>
      <c r="K12" s="76"/>
      <c r="L12" s="77"/>
      <c r="M12" s="77"/>
      <c r="N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</row>
    <row r="13" ht="12.75" customHeight="1">
      <c r="A13" s="70" t="str">
        <f t="shared" si="3"/>
        <v>1.2</v>
      </c>
      <c r="B13" s="71" t="s">
        <v>53</v>
      </c>
      <c r="C13" s="72">
        <v>1.0</v>
      </c>
      <c r="D13" s="73">
        <v>45868.0</v>
      </c>
      <c r="E13" s="73">
        <f t="shared" ref="E13:E18" si="5">IF(C13=1,D13,D13+C13)</f>
        <v>45868</v>
      </c>
      <c r="F13" s="74" t="s">
        <v>55</v>
      </c>
      <c r="G13" s="73">
        <v>45874.0</v>
      </c>
      <c r="H13" s="73">
        <v>45874.0</v>
      </c>
      <c r="I13" s="75">
        <v>0.5</v>
      </c>
      <c r="J13" s="72">
        <f t="shared" si="4"/>
        <v>1</v>
      </c>
      <c r="K13" s="76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</row>
    <row r="14" ht="12.75" customHeight="1">
      <c r="A14" s="70" t="str">
        <f t="shared" si="3"/>
        <v>1.3</v>
      </c>
      <c r="B14" s="71" t="s">
        <v>53</v>
      </c>
      <c r="C14" s="72">
        <v>1.0</v>
      </c>
      <c r="D14" s="73">
        <v>45875.0</v>
      </c>
      <c r="E14" s="73">
        <f t="shared" si="5"/>
        <v>45875</v>
      </c>
      <c r="F14" s="78" t="s">
        <v>56</v>
      </c>
      <c r="G14" s="73">
        <v>45876.0</v>
      </c>
      <c r="H14" s="73">
        <v>45877.0</v>
      </c>
      <c r="I14" s="75">
        <v>0.0</v>
      </c>
      <c r="J14" s="72">
        <f t="shared" si="4"/>
        <v>2</v>
      </c>
      <c r="K14" s="76"/>
      <c r="L14" s="77"/>
      <c r="M14" s="77"/>
      <c r="N14" s="79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</row>
    <row r="15" ht="12.75" customHeight="1">
      <c r="A15" s="70" t="str">
        <f t="shared" si="3"/>
        <v>1.4</v>
      </c>
      <c r="B15" s="71" t="s">
        <v>53</v>
      </c>
      <c r="C15" s="72">
        <v>1.0</v>
      </c>
      <c r="D15" s="73">
        <v>45876.0</v>
      </c>
      <c r="E15" s="73">
        <f t="shared" si="5"/>
        <v>45876</v>
      </c>
      <c r="F15" s="78" t="s">
        <v>56</v>
      </c>
      <c r="G15" s="73">
        <v>45876.0</v>
      </c>
      <c r="H15" s="73"/>
      <c r="I15" s="75">
        <v>0.0</v>
      </c>
      <c r="J15" s="72" t="str">
        <f t="shared" si="4"/>
        <v> - </v>
      </c>
      <c r="K15" s="76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</row>
    <row r="16" ht="12.75" customHeight="1">
      <c r="A16" s="70" t="str">
        <f t="shared" si="3"/>
        <v>1.5</v>
      </c>
      <c r="B16" s="71" t="s">
        <v>53</v>
      </c>
      <c r="C16" s="72">
        <v>1.0</v>
      </c>
      <c r="D16" s="73">
        <v>45879.0</v>
      </c>
      <c r="E16" s="73">
        <f t="shared" si="5"/>
        <v>45879</v>
      </c>
      <c r="F16" s="78" t="s">
        <v>56</v>
      </c>
      <c r="G16" s="73">
        <v>45879.0</v>
      </c>
      <c r="H16" s="73"/>
      <c r="I16" s="75">
        <v>0.0</v>
      </c>
      <c r="J16" s="72" t="str">
        <f t="shared" si="4"/>
        <v> - </v>
      </c>
      <c r="K16" s="76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</row>
    <row r="17" ht="12.75" customHeight="1">
      <c r="A17" s="70" t="str">
        <f t="shared" si="3"/>
        <v>1.6</v>
      </c>
      <c r="B17" s="71" t="s">
        <v>53</v>
      </c>
      <c r="C17" s="72">
        <v>1.0</v>
      </c>
      <c r="D17" s="73">
        <v>45880.0</v>
      </c>
      <c r="E17" s="73">
        <f t="shared" si="5"/>
        <v>45880</v>
      </c>
      <c r="F17" s="78" t="s">
        <v>56</v>
      </c>
      <c r="G17" s="73">
        <v>45880.0</v>
      </c>
      <c r="H17" s="73"/>
      <c r="I17" s="75">
        <v>0.0</v>
      </c>
      <c r="J17" s="72" t="str">
        <f t="shared" si="4"/>
        <v> - </v>
      </c>
      <c r="K17" s="76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</row>
    <row r="18" ht="12.75" customHeight="1">
      <c r="A18" s="70" t="str">
        <f t="shared" si="3"/>
        <v>1.7</v>
      </c>
      <c r="B18" s="71" t="s">
        <v>53</v>
      </c>
      <c r="C18" s="72">
        <v>1.0</v>
      </c>
      <c r="D18" s="73">
        <v>45881.0</v>
      </c>
      <c r="E18" s="73">
        <f t="shared" si="5"/>
        <v>45881</v>
      </c>
      <c r="F18" s="78" t="s">
        <v>56</v>
      </c>
      <c r="G18" s="73">
        <v>45881.0</v>
      </c>
      <c r="H18" s="73"/>
      <c r="I18" s="75">
        <v>0.0</v>
      </c>
      <c r="J18" s="72" t="str">
        <f t="shared" si="4"/>
        <v> - </v>
      </c>
      <c r="K18" s="76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</row>
    <row r="19" ht="12.75" customHeight="1">
      <c r="A19" s="61" t="str">
        <f>IF(ISERROR(VALUE(SUBSTITUTE(OFFSET(A19,-1,0,1,1),".",""))),"1",IF(ISERROR(FIND("`",SUBSTITUTE(OFFSET(A19,-1,0,1,1),".","`",1))),TEXT(VALUE(OFFSET(A19,-1,0,1,1))+1,"#"),TEXT(VALUE(LEFT(OFFSET(A19,-1,0,1,1),FIND("`",SUBSTITUTE(OFFSET(A19,-1,0,1,1),".","`",1))-1))+1,"#")))</f>
        <v>2</v>
      </c>
      <c r="B19" s="62" t="s">
        <v>52</v>
      </c>
      <c r="C19" s="63"/>
      <c r="D19" s="64"/>
      <c r="E19" s="65" t="str">
        <f>IF(ISBLANK(D19)," - ",IF(F19=0,D19,D19+F19-1))</f>
        <v> - </v>
      </c>
      <c r="F19" s="66"/>
      <c r="G19" s="66"/>
      <c r="H19" s="66"/>
      <c r="I19" s="67"/>
      <c r="J19" s="66" t="str">
        <f>IF(OR(E19=0,D19=0)," - ",NETWORKDAYS(D19,E19))</f>
        <v> - </v>
      </c>
      <c r="K19" s="68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  <c r="CP19" s="69"/>
      <c r="CQ19" s="69"/>
      <c r="CR19" s="69"/>
      <c r="CS19" s="69"/>
      <c r="CT19" s="69"/>
      <c r="CU19" s="69"/>
      <c r="CV19" s="69"/>
      <c r="CW19" s="69"/>
      <c r="CX19" s="69"/>
      <c r="CY19" s="69"/>
      <c r="CZ19" s="69"/>
      <c r="DA19" s="69"/>
      <c r="DB19" s="69"/>
      <c r="DC19" s="69"/>
      <c r="DD19" s="69"/>
      <c r="DE19" s="69"/>
      <c r="DF19" s="69"/>
      <c r="DG19" s="69"/>
      <c r="DH19" s="69"/>
      <c r="DI19" s="69"/>
      <c r="DJ19" s="69"/>
      <c r="DK19" s="69"/>
      <c r="DL19" s="69"/>
    </row>
    <row r="20" ht="12.75" customHeight="1">
      <c r="A20" s="70" t="str">
        <f t="shared" ref="A20:A26" si="6">IF(ISERROR(VALUE(SUBSTITUTE(OFFSET(A20,-1,0,1,1),".",""))),"0.1",IF(ISERROR(FIND("`",SUBSTITUTE(OFFSET(A20,-1,0,1,1),".","`",1))),OFFSET(A20,-1,0,1,1)&amp;".1",LEFT(OFFSET(A20,-1,0,1,1),FIND("`",SUBSTITUTE(OFFSET(A20,-1,0,1,1),".","`",1)))&amp;IF(ISERROR(FIND("`",SUBSTITUTE(OFFSET(A20,-1,0,1,1),".","`",2))),VALUE(RIGHT(OFFSET(A20,-1,0,1,1),LEN(OFFSET(A20,-1,0,1,1))-FIND("`",SUBSTITUTE(OFFSET(A20,-1,0,1,1),".","`",1))))+1,VALUE(MID(OFFSET(A20,-1,0,1,1),FIND("`",SUBSTITUTE(OFFSET(A20,-1,0,1,1),".","`",1))+1,(FIND("`",SUBSTITUTE(OFFSET(A20,-1,0,1,1),".","`",2))-FIND("`",SUBSTITUTE(OFFSET(A20,-1,0,1,1),".","`",1))-1)))+1)))</f>
        <v>2.1</v>
      </c>
      <c r="B20" s="71" t="s">
        <v>53</v>
      </c>
      <c r="C20" s="72"/>
      <c r="D20" s="73"/>
      <c r="E20" s="73"/>
      <c r="F20" s="78"/>
      <c r="G20" s="73"/>
      <c r="H20" s="73"/>
      <c r="I20" s="75"/>
      <c r="J20" s="72" t="str">
        <f t="shared" ref="J20:J26" si="7">IF(OR(H20=0,G20=0)," - ",NETWORKDAYS(G20,H20))</f>
        <v> - </v>
      </c>
      <c r="K20" s="76"/>
      <c r="L20" s="77"/>
      <c r="M20" s="77"/>
      <c r="N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</row>
    <row r="21" ht="12.75" customHeight="1">
      <c r="A21" s="70" t="str">
        <f t="shared" si="6"/>
        <v>2.2</v>
      </c>
      <c r="B21" s="71" t="s">
        <v>53</v>
      </c>
      <c r="C21" s="72"/>
      <c r="D21" s="73"/>
      <c r="E21" s="73"/>
      <c r="F21" s="78"/>
      <c r="G21" s="73"/>
      <c r="H21" s="73"/>
      <c r="I21" s="75"/>
      <c r="J21" s="72" t="str">
        <f t="shared" si="7"/>
        <v> - </v>
      </c>
      <c r="K21" s="76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</row>
    <row r="22" ht="12.75" customHeight="1">
      <c r="A22" s="70" t="str">
        <f t="shared" si="6"/>
        <v>2.3</v>
      </c>
      <c r="B22" s="71" t="s">
        <v>53</v>
      </c>
      <c r="C22" s="72"/>
      <c r="D22" s="73"/>
      <c r="E22" s="73"/>
      <c r="F22" s="78"/>
      <c r="G22" s="73"/>
      <c r="H22" s="73"/>
      <c r="I22" s="75"/>
      <c r="J22" s="72" t="str">
        <f t="shared" si="7"/>
        <v> - </v>
      </c>
      <c r="K22" s="76"/>
      <c r="L22" s="77"/>
      <c r="M22" s="77"/>
      <c r="N22" s="79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</row>
    <row r="23" ht="12.75" customHeight="1">
      <c r="A23" s="70" t="str">
        <f t="shared" si="6"/>
        <v>2.4</v>
      </c>
      <c r="B23" s="71" t="s">
        <v>53</v>
      </c>
      <c r="C23" s="72"/>
      <c r="D23" s="73"/>
      <c r="E23" s="73"/>
      <c r="F23" s="78"/>
      <c r="G23" s="73"/>
      <c r="H23" s="73"/>
      <c r="I23" s="75"/>
      <c r="J23" s="72" t="str">
        <f t="shared" si="7"/>
        <v> - </v>
      </c>
      <c r="K23" s="76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</row>
    <row r="24" ht="12.75" customHeight="1">
      <c r="A24" s="70" t="str">
        <f t="shared" si="6"/>
        <v>2.5</v>
      </c>
      <c r="B24" s="71" t="s">
        <v>53</v>
      </c>
      <c r="C24" s="72"/>
      <c r="D24" s="73"/>
      <c r="E24" s="73"/>
      <c r="F24" s="78"/>
      <c r="G24" s="80"/>
      <c r="H24" s="73"/>
      <c r="I24" s="75"/>
      <c r="J24" s="72" t="str">
        <f t="shared" si="7"/>
        <v> - </v>
      </c>
      <c r="K24" s="76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</row>
    <row r="25" ht="12.75" customHeight="1">
      <c r="A25" s="70" t="str">
        <f t="shared" si="6"/>
        <v>2.6</v>
      </c>
      <c r="B25" s="71" t="s">
        <v>53</v>
      </c>
      <c r="C25" s="72"/>
      <c r="D25" s="73"/>
      <c r="E25" s="73"/>
      <c r="F25" s="78"/>
      <c r="G25" s="81"/>
      <c r="H25" s="73"/>
      <c r="I25" s="75"/>
      <c r="J25" s="72" t="str">
        <f t="shared" si="7"/>
        <v> - </v>
      </c>
      <c r="K25" s="76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</row>
    <row r="26" ht="12.75" customHeight="1">
      <c r="A26" s="70" t="str">
        <f t="shared" si="6"/>
        <v>2.7</v>
      </c>
      <c r="B26" s="71" t="s">
        <v>53</v>
      </c>
      <c r="C26" s="72"/>
      <c r="D26" s="73"/>
      <c r="E26" s="73"/>
      <c r="F26" s="78"/>
      <c r="G26" s="73"/>
      <c r="H26" s="73"/>
      <c r="I26" s="75"/>
      <c r="J26" s="72" t="str">
        <f t="shared" si="7"/>
        <v> - </v>
      </c>
      <c r="K26" s="76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</row>
    <row r="27" ht="12.75" customHeight="1">
      <c r="A27" s="61" t="str">
        <f>IF(ISERROR(VALUE(SUBSTITUTE(OFFSET(A27,-1,0,1,1),".",""))),"1",IF(ISERROR(FIND("`",SUBSTITUTE(OFFSET(A27,-1,0,1,1),".","`",1))),TEXT(VALUE(OFFSET(A27,-1,0,1,1))+1,"#"),TEXT(VALUE(LEFT(OFFSET(A27,-1,0,1,1),FIND("`",SUBSTITUTE(OFFSET(A27,-1,0,1,1),".","`",1))-1))+1,"#")))</f>
        <v>3</v>
      </c>
      <c r="B27" s="62" t="s">
        <v>52</v>
      </c>
      <c r="C27" s="63"/>
      <c r="D27" s="64"/>
      <c r="E27" s="65" t="str">
        <f>IF(ISBLANK(D27)," - ",IF(F27=0,D27,D27+F27-1))</f>
        <v> - </v>
      </c>
      <c r="F27" s="66"/>
      <c r="G27" s="66"/>
      <c r="H27" s="66"/>
      <c r="I27" s="67"/>
      <c r="J27" s="66" t="str">
        <f>IF(OR(E27=0,D27=0)," - ",NETWORKDAYS(D27,E27))</f>
        <v> - </v>
      </c>
      <c r="K27" s="68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  <c r="CS27" s="69"/>
      <c r="CT27" s="69"/>
      <c r="CU27" s="69"/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  <c r="DH27" s="69"/>
      <c r="DI27" s="69"/>
      <c r="DJ27" s="69"/>
      <c r="DK27" s="69"/>
      <c r="DL27" s="69"/>
    </row>
    <row r="28" ht="12.75" customHeight="1">
      <c r="A28" s="70" t="str">
        <f t="shared" ref="A28:A34" si="8">IF(ISERROR(VALUE(SUBSTITUTE(OFFSET(A28,-1,0,1,1),".",""))),"0.1",IF(ISERROR(FIND("`",SUBSTITUTE(OFFSET(A28,-1,0,1,1),".","`",1))),OFFSET(A28,-1,0,1,1)&amp;".1",LEFT(OFFSET(A28,-1,0,1,1),FIND("`",SUBSTITUTE(OFFSET(A28,-1,0,1,1),".","`",1)))&amp;IF(ISERROR(FIND("`",SUBSTITUTE(OFFSET(A28,-1,0,1,1),".","`",2))),VALUE(RIGHT(OFFSET(A28,-1,0,1,1),LEN(OFFSET(A28,-1,0,1,1))-FIND("`",SUBSTITUTE(OFFSET(A28,-1,0,1,1),".","`",1))))+1,VALUE(MID(OFFSET(A28,-1,0,1,1),FIND("`",SUBSTITUTE(OFFSET(A28,-1,0,1,1),".","`",1))+1,(FIND("`",SUBSTITUTE(OFFSET(A28,-1,0,1,1),".","`",2))-FIND("`",SUBSTITUTE(OFFSET(A28,-1,0,1,1),".","`",1))-1)))+1)))</f>
        <v>3.1</v>
      </c>
      <c r="B28" s="71" t="s">
        <v>53</v>
      </c>
      <c r="C28" s="72"/>
      <c r="D28" s="73"/>
      <c r="E28" s="73"/>
      <c r="F28" s="78"/>
      <c r="G28" s="73"/>
      <c r="H28" s="73"/>
      <c r="I28" s="75"/>
      <c r="J28" s="72" t="str">
        <f t="shared" ref="J28:J34" si="9">IF(OR(H28=0,G28=0)," - ",NETWORKDAYS(G28,H28))</f>
        <v> - </v>
      </c>
      <c r="K28" s="76"/>
      <c r="L28" s="77"/>
      <c r="M28" s="77"/>
      <c r="N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</row>
    <row r="29" ht="12.75" customHeight="1">
      <c r="A29" s="70" t="str">
        <f t="shared" si="8"/>
        <v>3.2</v>
      </c>
      <c r="B29" s="71" t="s">
        <v>53</v>
      </c>
      <c r="C29" s="72"/>
      <c r="D29" s="73"/>
      <c r="E29" s="73"/>
      <c r="F29" s="78"/>
      <c r="G29" s="73"/>
      <c r="H29" s="73"/>
      <c r="I29" s="75"/>
      <c r="J29" s="72" t="str">
        <f t="shared" si="9"/>
        <v> - </v>
      </c>
      <c r="K29" s="76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</row>
    <row r="30" ht="12.75" customHeight="1">
      <c r="A30" s="70" t="str">
        <f t="shared" si="8"/>
        <v>3.3</v>
      </c>
      <c r="B30" s="71" t="s">
        <v>53</v>
      </c>
      <c r="C30" s="72"/>
      <c r="D30" s="73"/>
      <c r="E30" s="73"/>
      <c r="F30" s="78"/>
      <c r="G30" s="73"/>
      <c r="H30" s="73"/>
      <c r="I30" s="75"/>
      <c r="J30" s="72" t="str">
        <f t="shared" si="9"/>
        <v> - </v>
      </c>
      <c r="K30" s="76"/>
      <c r="L30" s="77"/>
      <c r="M30" s="77"/>
      <c r="N30" s="7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</row>
    <row r="31" ht="12.75" customHeight="1">
      <c r="A31" s="70" t="str">
        <f t="shared" si="8"/>
        <v>3.4</v>
      </c>
      <c r="B31" s="71" t="s">
        <v>53</v>
      </c>
      <c r="C31" s="72"/>
      <c r="D31" s="73"/>
      <c r="E31" s="73"/>
      <c r="F31" s="78"/>
      <c r="G31" s="73"/>
      <c r="H31" s="73"/>
      <c r="I31" s="75"/>
      <c r="J31" s="72" t="str">
        <f t="shared" si="9"/>
        <v> - </v>
      </c>
      <c r="K31" s="76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</row>
    <row r="32" ht="12.75" customHeight="1">
      <c r="A32" s="70" t="str">
        <f t="shared" si="8"/>
        <v>3.5</v>
      </c>
      <c r="B32" s="71" t="s">
        <v>53</v>
      </c>
      <c r="C32" s="72"/>
      <c r="D32" s="73"/>
      <c r="E32" s="73"/>
      <c r="F32" s="78"/>
      <c r="G32" s="80"/>
      <c r="H32" s="73"/>
      <c r="I32" s="75"/>
      <c r="J32" s="72" t="str">
        <f t="shared" si="9"/>
        <v> - </v>
      </c>
      <c r="K32" s="76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</row>
    <row r="33" ht="12.75" customHeight="1">
      <c r="A33" s="70" t="str">
        <f t="shared" si="8"/>
        <v>3.6</v>
      </c>
      <c r="B33" s="71" t="s">
        <v>53</v>
      </c>
      <c r="C33" s="72"/>
      <c r="D33" s="73"/>
      <c r="E33" s="73"/>
      <c r="F33" s="78"/>
      <c r="G33" s="81"/>
      <c r="H33" s="73"/>
      <c r="I33" s="75"/>
      <c r="J33" s="72" t="str">
        <f t="shared" si="9"/>
        <v> - </v>
      </c>
      <c r="K33" s="76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</row>
    <row r="34" ht="12.75" customHeight="1">
      <c r="A34" s="70" t="str">
        <f t="shared" si="8"/>
        <v>3.7</v>
      </c>
      <c r="B34" s="71" t="s">
        <v>53</v>
      </c>
      <c r="C34" s="72"/>
      <c r="D34" s="73"/>
      <c r="E34" s="73"/>
      <c r="F34" s="78"/>
      <c r="G34" s="73"/>
      <c r="H34" s="73"/>
      <c r="I34" s="75"/>
      <c r="J34" s="72" t="str">
        <f t="shared" si="9"/>
        <v> - </v>
      </c>
      <c r="K34" s="76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</row>
    <row r="35" ht="12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</row>
    <row r="53" ht="12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</row>
    <row r="54" ht="12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</row>
    <row r="55" ht="12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</row>
    <row r="56" ht="12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</row>
    <row r="57" ht="12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</row>
    <row r="58" ht="12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</row>
    <row r="59" ht="12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</row>
    <row r="60" ht="12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</row>
    <row r="61" ht="12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</row>
    <row r="62" ht="12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</row>
    <row r="63" ht="12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</row>
    <row r="64" ht="12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</row>
    <row r="65" ht="12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</row>
    <row r="66" ht="12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</row>
    <row r="67" ht="12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</row>
    <row r="68" ht="12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</row>
    <row r="69" ht="12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</row>
    <row r="70" ht="12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</row>
    <row r="71" ht="12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</row>
    <row r="72" ht="12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</row>
    <row r="73" ht="12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</row>
    <row r="74" ht="12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</row>
    <row r="75" ht="12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</row>
    <row r="76" ht="12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</row>
    <row r="77" ht="12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</row>
    <row r="78" ht="12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</row>
    <row r="79" ht="12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</row>
    <row r="80" ht="12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</row>
    <row r="81" ht="12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</row>
    <row r="82" ht="12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</row>
    <row r="83" ht="12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</row>
    <row r="84" ht="12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</row>
    <row r="85" ht="12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</row>
    <row r="86" ht="12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</row>
    <row r="87" ht="12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</row>
    <row r="88" ht="12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</row>
    <row r="89" ht="12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</row>
    <row r="90" ht="12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</row>
    <row r="91" ht="12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</row>
    <row r="92" ht="12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</row>
    <row r="93" ht="12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</row>
    <row r="94" ht="12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</row>
    <row r="95" ht="12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</row>
    <row r="96" ht="12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</row>
    <row r="97" ht="12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</row>
    <row r="98" ht="12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</row>
    <row r="99" ht="12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</row>
    <row r="100" ht="12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</row>
    <row r="101" ht="12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</row>
    <row r="102" ht="12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</row>
    <row r="103" ht="12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</row>
    <row r="104" ht="12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</row>
    <row r="105" ht="12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</row>
    <row r="106" ht="12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</row>
    <row r="107" ht="12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</row>
    <row r="108" ht="12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</row>
    <row r="109" ht="12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</row>
    <row r="110" ht="12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</row>
    <row r="111" ht="12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</row>
    <row r="112" ht="12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</row>
    <row r="113" ht="12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</row>
    <row r="114" ht="12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</row>
    <row r="115" ht="12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</row>
    <row r="116" ht="12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</row>
    <row r="117" ht="12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</row>
    <row r="118" ht="12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</row>
    <row r="119" ht="12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</row>
    <row r="120" ht="12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</row>
    <row r="121" ht="12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</row>
    <row r="122" ht="12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</row>
    <row r="123" ht="12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</row>
    <row r="124" ht="12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</row>
    <row r="125" ht="12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</row>
    <row r="126" ht="12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</row>
    <row r="127" ht="12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</row>
    <row r="128" ht="12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</row>
    <row r="129" ht="12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</row>
    <row r="130" ht="12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</row>
    <row r="131" ht="12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</row>
    <row r="132" ht="12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</row>
    <row r="133" ht="12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</row>
    <row r="134" ht="12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</row>
    <row r="135" ht="12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</row>
    <row r="136" ht="12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</row>
    <row r="137" ht="12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</row>
    <row r="138" ht="12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</row>
    <row r="139" ht="12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</row>
    <row r="140" ht="12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</row>
    <row r="141" ht="12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</row>
    <row r="142" ht="12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</row>
    <row r="143" ht="12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</row>
    <row r="144" ht="12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</row>
    <row r="145" ht="12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</row>
    <row r="146" ht="12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</row>
    <row r="147" ht="12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</row>
    <row r="148" ht="12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</row>
    <row r="149" ht="12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</row>
    <row r="150" ht="12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</row>
    <row r="151" ht="12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</row>
    <row r="152" ht="12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</row>
    <row r="153" ht="12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</row>
    <row r="154" ht="12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</row>
    <row r="155" ht="12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</row>
    <row r="156" ht="12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</row>
    <row r="157" ht="12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</row>
    <row r="158" ht="12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</row>
    <row r="159" ht="12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</row>
    <row r="160" ht="12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</row>
    <row r="161" ht="12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</row>
    <row r="162" ht="12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</row>
    <row r="163" ht="12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</row>
    <row r="164" ht="12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</row>
    <row r="165" ht="12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</row>
    <row r="166" ht="12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</row>
    <row r="167" ht="12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</row>
    <row r="168" ht="12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</row>
    <row r="169" ht="12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</row>
    <row r="170" ht="12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</row>
    <row r="171" ht="12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</row>
    <row r="172" ht="12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</row>
    <row r="173" ht="12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</row>
    <row r="174" ht="12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</row>
    <row r="175" ht="12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</row>
    <row r="176" ht="12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</row>
    <row r="177" ht="12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</row>
    <row r="178" ht="12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</row>
    <row r="179" ht="12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</row>
    <row r="180" ht="12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</row>
    <row r="181" ht="12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</row>
    <row r="182" ht="12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</row>
    <row r="183" ht="12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</row>
    <row r="184" ht="12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</row>
    <row r="185" ht="12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</row>
    <row r="186" ht="12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</row>
    <row r="187" ht="12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</row>
    <row r="188" ht="12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</row>
    <row r="189" ht="12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</row>
    <row r="190" ht="12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</row>
    <row r="191" ht="12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</row>
    <row r="192" ht="12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</row>
    <row r="193" ht="12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</row>
    <row r="194" ht="12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</row>
    <row r="195" ht="12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</row>
    <row r="196" ht="12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</row>
    <row r="197" ht="12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</row>
    <row r="198" ht="12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</row>
    <row r="199" ht="12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</row>
    <row r="200" ht="12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</row>
    <row r="201" ht="12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</row>
    <row r="202" ht="12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</row>
    <row r="203" ht="12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</row>
    <row r="204" ht="12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</row>
    <row r="205" ht="12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</row>
    <row r="206" ht="12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</row>
    <row r="207" ht="12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</row>
    <row r="208" ht="12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</row>
    <row r="209" ht="12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</row>
    <row r="210" ht="12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</row>
    <row r="211" ht="12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</row>
    <row r="212" ht="12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</row>
    <row r="213" ht="12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</row>
    <row r="214" ht="12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42">
    <mergeCell ref="CY8:DE8"/>
    <mergeCell ref="DF8:DL8"/>
    <mergeCell ref="AU8:BA8"/>
    <mergeCell ref="BB8:BH8"/>
    <mergeCell ref="BP8:BV8"/>
    <mergeCell ref="BW8:CC8"/>
    <mergeCell ref="CD8:CJ8"/>
    <mergeCell ref="CK8:CQ8"/>
    <mergeCell ref="CR8:CX8"/>
    <mergeCell ref="AN7:AT7"/>
    <mergeCell ref="AU7:BA7"/>
    <mergeCell ref="CY7:DE7"/>
    <mergeCell ref="DF7:DL7"/>
    <mergeCell ref="BB7:BH7"/>
    <mergeCell ref="BI7:BO7"/>
    <mergeCell ref="BP7:BV7"/>
    <mergeCell ref="BW7:CC7"/>
    <mergeCell ref="CD7:CJ7"/>
    <mergeCell ref="CK7:CQ7"/>
    <mergeCell ref="CR7:CX7"/>
    <mergeCell ref="S8:Y8"/>
    <mergeCell ref="Z8:AF8"/>
    <mergeCell ref="AG8:AM8"/>
    <mergeCell ref="AN8:AT8"/>
    <mergeCell ref="L1:BO1"/>
    <mergeCell ref="L2:BO2"/>
    <mergeCell ref="C7:D7"/>
    <mergeCell ref="S7:Y7"/>
    <mergeCell ref="Z7:AF7"/>
    <mergeCell ref="AG7:AM7"/>
    <mergeCell ref="C8:D8"/>
    <mergeCell ref="BI8:BO8"/>
    <mergeCell ref="G9:H9"/>
    <mergeCell ref="I9:I10"/>
    <mergeCell ref="L7:R7"/>
    <mergeCell ref="L8:R8"/>
    <mergeCell ref="A9:A10"/>
    <mergeCell ref="B9:B10"/>
    <mergeCell ref="C9:C10"/>
    <mergeCell ref="D9:E9"/>
    <mergeCell ref="F9:F10"/>
    <mergeCell ref="J9:J10"/>
  </mergeCells>
  <conditionalFormatting sqref="J12:J18 J20:J26">
    <cfRule type="expression" dxfId="0" priority="1">
      <formula>AND(ISNUMBER($J12),ISNUMBER($C12),$J12 &lt; $C12)</formula>
    </cfRule>
  </conditionalFormatting>
  <conditionalFormatting sqref="J12:J18 J20:J26">
    <cfRule type="expression" dxfId="1" priority="2">
      <formula>AND(ISNUMBER($J12),ISNUMBER($C12),$J12 &gt; $C12)</formula>
    </cfRule>
  </conditionalFormatting>
  <conditionalFormatting sqref="J28:J34">
    <cfRule type="expression" dxfId="0" priority="3">
      <formula>AND(ISNUMBER($J28),ISNUMBER($C28),$J28 &lt; $C28)</formula>
    </cfRule>
  </conditionalFormatting>
  <conditionalFormatting sqref="J28:J34">
    <cfRule type="expression" dxfId="1" priority="4">
      <formula>AND(ISNUMBER($J28),ISNUMBER($C28),$J28 &gt; $C28)</formula>
    </cfRule>
  </conditionalFormatting>
  <conditionalFormatting sqref="L9:DL10">
    <cfRule type="expression" dxfId="2" priority="5">
      <formula>L$9=TODAY()</formula>
    </cfRule>
  </conditionalFormatting>
  <conditionalFormatting sqref="L9:DL18">
    <cfRule type="expression" dxfId="3" priority="6">
      <formula>L$9=TODAY()</formula>
    </cfRule>
  </conditionalFormatting>
  <conditionalFormatting sqref="L11:DL26">
    <cfRule type="expression" dxfId="4" priority="7">
      <formula>AND(IF(ISNUMBER($H11), $H11,WORKDAY.INTL($G11,$J11-1,1))=L$9,$J11&lt;$C11)</formula>
    </cfRule>
  </conditionalFormatting>
  <conditionalFormatting sqref="L11:DL26">
    <cfRule type="expression" dxfId="5" priority="8">
      <formula>AND(IF(ISNUMBER($H11), $H11,WORKDAY.INTL($G11,$J11-1,1))=L$9,$J11&gt;$C11)</formula>
    </cfRule>
  </conditionalFormatting>
  <conditionalFormatting sqref="L11:DL26">
    <cfRule type="expression" dxfId="6" priority="9">
      <formula>AND(IF(ISNUMBER($H11), $H11,WORKDAY.INTL($G11,$J11-1,1))=L$9,$J11=$C11)</formula>
    </cfRule>
  </conditionalFormatting>
  <conditionalFormatting sqref="L11:DL26">
    <cfRule type="expression" dxfId="7" priority="10">
      <formula>AND(ISNUMBER($G11), ISNUMBER($C11),ISNUMBER($J11),$J11 &gt; $C11, L$9 &gt; WORKDAY.INTL($G11, $C11 - 1, 1),  L$9 &lt;= $H11 )</formula>
    </cfRule>
  </conditionalFormatting>
  <conditionalFormatting sqref="L11:DL26">
    <cfRule type="expression" dxfId="8" priority="11">
      <formula>AND(ISNUMBER($G11),ISNUMBER($H11),L$9&gt;=$G11,L$9&lt;=$H11)</formula>
    </cfRule>
  </conditionalFormatting>
  <conditionalFormatting sqref="L11:DL26">
    <cfRule type="expression" dxfId="9" priority="12">
      <formula>AND($D11&lt;=L$9,WORKDAY.INTL($D11-1,$C11,1)&gt;=L$9)</formula>
    </cfRule>
  </conditionalFormatting>
  <conditionalFormatting sqref="L19:DL34">
    <cfRule type="expression" dxfId="3" priority="13">
      <formula>L$9=TODAY()</formula>
    </cfRule>
  </conditionalFormatting>
  <conditionalFormatting sqref="L27:DL34">
    <cfRule type="expression" dxfId="4" priority="14">
      <formula>AND(IF(ISNUMBER($H27), $H27,WORKDAY.INTL($G27,$J27-1,1))=L$9,$J27&lt;$C27)</formula>
    </cfRule>
  </conditionalFormatting>
  <conditionalFormatting sqref="L27:DL34">
    <cfRule type="expression" dxfId="5" priority="15">
      <formula>AND(IF(ISNUMBER($H27), $H27,WORKDAY.INTL($G27,$J27-1,1))=L$9,$J27&gt;$C27)</formula>
    </cfRule>
  </conditionalFormatting>
  <conditionalFormatting sqref="L27:DL34">
    <cfRule type="expression" dxfId="6" priority="16">
      <formula>AND(IF(ISNUMBER($H27), $H27,WORKDAY.INTL($G27,$J27-1,1))=L$9,$J27=$C27)</formula>
    </cfRule>
  </conditionalFormatting>
  <conditionalFormatting sqref="L27:DL34">
    <cfRule type="expression" dxfId="7" priority="17">
      <formula>AND(ISNUMBER($G27), ISNUMBER($C27),ISNUMBER($J27),$J27 &gt; $C27, L$9 &gt; WORKDAY.INTL($G27, $C27 - 1, 1),  L$9 &lt;= $H27 )</formula>
    </cfRule>
  </conditionalFormatting>
  <conditionalFormatting sqref="L27:DL34">
    <cfRule type="expression" dxfId="8" priority="18">
      <formula>AND(ISNUMBER($G27),ISNUMBER($H27),L$9&gt;=$G27,L$9&lt;=$H27)</formula>
    </cfRule>
  </conditionalFormatting>
  <conditionalFormatting sqref="L27:DL34">
    <cfRule type="expression" dxfId="9" priority="19">
      <formula>AND($D27&lt;=L$9,WORKDAY.INTL($D27-1,$C27,1)&gt;=L$9)</formula>
    </cfRule>
  </conditionalFormatting>
  <conditionalFormatting sqref="O13 O21">
    <cfRule type="expression" dxfId="6" priority="20">
      <formula>AND(WORKDAY.INTL($G12-1,$J12,1)&gt;=$L10)</formula>
    </cfRule>
  </conditionalFormatting>
  <conditionalFormatting sqref="O13 O21">
    <cfRule type="expression" dxfId="8" priority="21">
      <formula>AND($G12&lt;=O$9,WORKDAY.INTL($G12-1,$C12,1)&gt;=O$9)</formula>
    </cfRule>
  </conditionalFormatting>
  <conditionalFormatting sqref="O13 O21">
    <cfRule type="expression" dxfId="9" priority="22">
      <formula>AND($D12&lt;=O$9,WORKDAY.INTL($D12-1,$C12,1)&gt;=O$9)</formula>
    </cfRule>
  </conditionalFormatting>
  <conditionalFormatting sqref="O29">
    <cfRule type="expression" dxfId="6" priority="23">
      <formula>AND(WORKDAY.INTL($G28-1,$J28,1)&gt;=$L26)</formula>
    </cfRule>
  </conditionalFormatting>
  <conditionalFormatting sqref="O29">
    <cfRule type="expression" dxfId="8" priority="24">
      <formula>AND($G28&lt;=O$9,WORKDAY.INTL($G28-1,$C28,1)&gt;=O$9)</formula>
    </cfRule>
  </conditionalFormatting>
  <conditionalFormatting sqref="O29">
    <cfRule type="expression" dxfId="9" priority="25">
      <formula>AND($D28&lt;=O$9,WORKDAY.INTL($D28-1,$C28,1)&gt;=O$9)</formula>
    </cfRule>
  </conditionalFormatting>
  <dataValidations>
    <dataValidation type="list" allowBlank="1" showErrorMessage="1" sqref="F12:F18 F20:F26 F28:F34">
      <formula1>'DS Sinh Viên'!$B$2:$B$3</formula1>
    </dataValidation>
  </dataValidations>
  <printOptions/>
  <pageMargins bottom="0.5" footer="0.0" header="0.0" left="0.25" right="0.25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38"/>
    <col customWidth="1" min="3" max="3" width="15.88"/>
    <col customWidth="1" min="4" max="4" width="22.0"/>
    <col customWidth="1" min="5" max="5" width="64.0"/>
    <col customWidth="1" min="6" max="26" width="9.0"/>
  </cols>
  <sheetData>
    <row r="1" ht="16.5" customHeight="1">
      <c r="A1" s="82" t="s">
        <v>57</v>
      </c>
      <c r="F1" s="83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14.25" customHeight="1">
      <c r="A2" s="85"/>
      <c r="B2" s="85"/>
      <c r="C2" s="85"/>
      <c r="D2" s="85"/>
      <c r="E2" s="85"/>
      <c r="F2" s="83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ht="19.5" customHeight="1">
      <c r="A3" s="86" t="s">
        <v>58</v>
      </c>
      <c r="B3" s="87"/>
      <c r="C3" s="87"/>
      <c r="D3" s="87"/>
      <c r="E3" s="87"/>
      <c r="F3" s="83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ht="19.5" customHeight="1">
      <c r="A4" s="86" t="s">
        <v>59</v>
      </c>
      <c r="B4" s="87"/>
      <c r="C4" s="87"/>
      <c r="D4" s="87"/>
      <c r="E4" s="87"/>
      <c r="F4" s="88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ht="19.5" customHeight="1">
      <c r="A5" s="86" t="s">
        <v>60</v>
      </c>
      <c r="B5" s="89"/>
      <c r="C5" s="90">
        <v>46032.0</v>
      </c>
      <c r="D5" s="91"/>
      <c r="E5" s="89"/>
      <c r="F5" s="92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ht="19.5" customHeight="1">
      <c r="A6" s="86"/>
      <c r="B6" s="89"/>
      <c r="C6" s="90"/>
      <c r="D6" s="91"/>
      <c r="E6" s="89"/>
      <c r="F6" s="92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ht="16.5" customHeight="1">
      <c r="A7" s="93" t="s">
        <v>61</v>
      </c>
      <c r="B7" s="93" t="s">
        <v>62</v>
      </c>
      <c r="C7" s="93" t="s">
        <v>63</v>
      </c>
      <c r="D7" s="94" t="s">
        <v>64</v>
      </c>
      <c r="E7" s="93" t="s">
        <v>65</v>
      </c>
      <c r="F7" s="89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99.75" customHeight="1">
      <c r="A8" s="96">
        <v>1.0</v>
      </c>
      <c r="B8" s="97">
        <f>C5</f>
        <v>46032</v>
      </c>
      <c r="C8" s="97">
        <f t="shared" ref="C8:C22" si="1">B8+6</f>
        <v>46038</v>
      </c>
      <c r="D8" s="96"/>
      <c r="E8" s="98"/>
      <c r="F8" s="99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ht="99.75" customHeight="1">
      <c r="A9" s="96">
        <v>2.0</v>
      </c>
      <c r="B9" s="97">
        <f t="shared" ref="B9:B22" si="2">B8+7</f>
        <v>46039</v>
      </c>
      <c r="C9" s="97">
        <f t="shared" si="1"/>
        <v>46045</v>
      </c>
      <c r="D9" s="96"/>
      <c r="E9" s="98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ht="99.75" customHeight="1">
      <c r="A10" s="96">
        <v>3.0</v>
      </c>
      <c r="B10" s="97">
        <f t="shared" si="2"/>
        <v>46046</v>
      </c>
      <c r="C10" s="97">
        <f t="shared" si="1"/>
        <v>46052</v>
      </c>
      <c r="D10" s="96"/>
      <c r="E10" s="98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ht="99.75" customHeight="1">
      <c r="A11" s="96">
        <v>4.0</v>
      </c>
      <c r="B11" s="97">
        <f t="shared" si="2"/>
        <v>46053</v>
      </c>
      <c r="C11" s="97">
        <f t="shared" si="1"/>
        <v>46059</v>
      </c>
      <c r="D11" s="96"/>
      <c r="E11" s="98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ht="99.75" customHeight="1">
      <c r="A12" s="96">
        <v>5.0</v>
      </c>
      <c r="B12" s="97">
        <f t="shared" si="2"/>
        <v>46060</v>
      </c>
      <c r="C12" s="97">
        <f t="shared" si="1"/>
        <v>46066</v>
      </c>
      <c r="D12" s="96"/>
      <c r="E12" s="98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ht="99.75" customHeight="1">
      <c r="A13" s="96">
        <v>6.0</v>
      </c>
      <c r="B13" s="97">
        <f t="shared" si="2"/>
        <v>46067</v>
      </c>
      <c r="C13" s="97">
        <f t="shared" si="1"/>
        <v>46073</v>
      </c>
      <c r="D13" s="96"/>
      <c r="E13" s="98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ht="99.75" customHeight="1">
      <c r="A14" s="96">
        <v>7.0</v>
      </c>
      <c r="B14" s="97">
        <f t="shared" si="2"/>
        <v>46074</v>
      </c>
      <c r="C14" s="97">
        <f t="shared" si="1"/>
        <v>46080</v>
      </c>
      <c r="D14" s="96"/>
      <c r="E14" s="98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ht="99.75" customHeight="1">
      <c r="A15" s="96">
        <v>8.0</v>
      </c>
      <c r="B15" s="97">
        <f t="shared" si="2"/>
        <v>46081</v>
      </c>
      <c r="C15" s="97">
        <f t="shared" si="1"/>
        <v>46087</v>
      </c>
      <c r="D15" s="96"/>
      <c r="E15" s="98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ht="99.75" customHeight="1">
      <c r="A16" s="96">
        <v>9.0</v>
      </c>
      <c r="B16" s="97">
        <f t="shared" si="2"/>
        <v>46088</v>
      </c>
      <c r="C16" s="97">
        <f t="shared" si="1"/>
        <v>46094</v>
      </c>
      <c r="D16" s="96"/>
      <c r="E16" s="98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ht="99.75" customHeight="1">
      <c r="A17" s="96">
        <v>10.0</v>
      </c>
      <c r="B17" s="97">
        <f t="shared" si="2"/>
        <v>46095</v>
      </c>
      <c r="C17" s="97">
        <f t="shared" si="1"/>
        <v>46101</v>
      </c>
      <c r="D17" s="96"/>
      <c r="E17" s="98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ht="99.75" customHeight="1">
      <c r="A18" s="96">
        <v>11.0</v>
      </c>
      <c r="B18" s="97">
        <f t="shared" si="2"/>
        <v>46102</v>
      </c>
      <c r="C18" s="97">
        <f t="shared" si="1"/>
        <v>46108</v>
      </c>
      <c r="D18" s="96"/>
      <c r="E18" s="98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ht="99.75" customHeight="1">
      <c r="A19" s="96">
        <v>12.0</v>
      </c>
      <c r="B19" s="97">
        <f t="shared" si="2"/>
        <v>46109</v>
      </c>
      <c r="C19" s="97">
        <f t="shared" si="1"/>
        <v>46115</v>
      </c>
      <c r="D19" s="96"/>
      <c r="E19" s="98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ht="99.75" customHeight="1">
      <c r="A20" s="96">
        <v>13.0</v>
      </c>
      <c r="B20" s="97">
        <f t="shared" si="2"/>
        <v>46116</v>
      </c>
      <c r="C20" s="97">
        <f t="shared" si="1"/>
        <v>46122</v>
      </c>
      <c r="D20" s="96"/>
      <c r="E20" s="98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ht="99.75" customHeight="1">
      <c r="A21" s="96">
        <v>14.0</v>
      </c>
      <c r="B21" s="97">
        <f t="shared" si="2"/>
        <v>46123</v>
      </c>
      <c r="C21" s="97">
        <f t="shared" si="1"/>
        <v>46129</v>
      </c>
      <c r="D21" s="96"/>
      <c r="E21" s="98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ht="99.75" customHeight="1">
      <c r="A22" s="96">
        <v>15.0</v>
      </c>
      <c r="B22" s="97">
        <f t="shared" si="2"/>
        <v>46130</v>
      </c>
      <c r="C22" s="97">
        <f t="shared" si="1"/>
        <v>46136</v>
      </c>
      <c r="D22" s="96"/>
      <c r="E22" s="98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ht="16.5" customHeight="1">
      <c r="A23" s="84"/>
      <c r="B23" s="84"/>
      <c r="C23" s="95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ht="16.5" customHeight="1">
      <c r="A24" s="84"/>
      <c r="B24" s="84"/>
      <c r="C24" s="95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ht="16.5" customHeight="1">
      <c r="A25" s="84"/>
      <c r="B25" s="84"/>
      <c r="C25" s="95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ht="16.5" customHeight="1">
      <c r="A26" s="84"/>
      <c r="B26" s="84"/>
      <c r="C26" s="95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ht="16.5" customHeight="1">
      <c r="A27" s="84"/>
      <c r="B27" s="84"/>
      <c r="C27" s="95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ht="16.5" customHeight="1">
      <c r="A28" s="84"/>
      <c r="B28" s="84"/>
      <c r="C28" s="95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ht="16.5" customHeight="1">
      <c r="A29" s="84"/>
      <c r="B29" s="84"/>
      <c r="C29" s="95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ht="16.5" customHeight="1">
      <c r="A30" s="84"/>
      <c r="B30" s="84"/>
      <c r="C30" s="95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ht="16.5" customHeight="1">
      <c r="A31" s="84"/>
      <c r="B31" s="84"/>
      <c r="C31" s="95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ht="16.5" customHeight="1">
      <c r="A32" s="84"/>
      <c r="B32" s="84"/>
      <c r="C32" s="95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ht="16.5" customHeight="1">
      <c r="A33" s="84"/>
      <c r="B33" s="84"/>
      <c r="C33" s="95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ht="16.5" customHeight="1">
      <c r="A34" s="84"/>
      <c r="B34" s="84"/>
      <c r="C34" s="95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ht="16.5" customHeight="1">
      <c r="A35" s="84"/>
      <c r="B35" s="84"/>
      <c r="C35" s="95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ht="16.5" customHeight="1">
      <c r="A36" s="84"/>
      <c r="B36" s="84"/>
      <c r="C36" s="95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ht="16.5" customHeight="1">
      <c r="A37" s="84"/>
      <c r="B37" s="84"/>
      <c r="C37" s="95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ht="16.5" customHeight="1">
      <c r="A38" s="84"/>
      <c r="B38" s="84"/>
      <c r="C38" s="95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ht="16.5" customHeight="1">
      <c r="A39" s="84"/>
      <c r="B39" s="84"/>
      <c r="C39" s="95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ht="16.5" customHeight="1">
      <c r="A40" s="84"/>
      <c r="B40" s="84"/>
      <c r="C40" s="95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ht="16.5" customHeight="1">
      <c r="A41" s="84"/>
      <c r="B41" s="84"/>
      <c r="C41" s="95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ht="16.5" customHeight="1">
      <c r="A42" s="84"/>
      <c r="B42" s="84"/>
      <c r="C42" s="95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ht="16.5" customHeight="1">
      <c r="A43" s="84"/>
      <c r="B43" s="84"/>
      <c r="C43" s="95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ht="16.5" customHeight="1">
      <c r="A44" s="84"/>
      <c r="B44" s="84"/>
      <c r="C44" s="95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ht="16.5" customHeight="1">
      <c r="A45" s="84"/>
      <c r="B45" s="84"/>
      <c r="C45" s="95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ht="16.5" customHeight="1">
      <c r="A46" s="84"/>
      <c r="B46" s="84"/>
      <c r="C46" s="95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ht="16.5" customHeight="1">
      <c r="A47" s="84"/>
      <c r="B47" s="84"/>
      <c r="C47" s="95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ht="16.5" customHeight="1">
      <c r="A48" s="84"/>
      <c r="B48" s="84"/>
      <c r="C48" s="95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ht="16.5" customHeight="1">
      <c r="A49" s="84"/>
      <c r="B49" s="84"/>
      <c r="C49" s="95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ht="16.5" customHeight="1">
      <c r="A50" s="84"/>
      <c r="B50" s="84"/>
      <c r="C50" s="95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ht="16.5" customHeight="1">
      <c r="A51" s="84"/>
      <c r="B51" s="84"/>
      <c r="C51" s="95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6.5" customHeight="1">
      <c r="A52" s="84"/>
      <c r="B52" s="84"/>
      <c r="C52" s="95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ht="16.5" customHeight="1">
      <c r="A53" s="84"/>
      <c r="B53" s="84"/>
      <c r="C53" s="95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ht="16.5" customHeight="1">
      <c r="A54" s="84"/>
      <c r="B54" s="84"/>
      <c r="C54" s="95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ht="16.5" customHeight="1">
      <c r="A55" s="84"/>
      <c r="B55" s="84"/>
      <c r="C55" s="95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ht="16.5" customHeight="1">
      <c r="A56" s="84"/>
      <c r="B56" s="84"/>
      <c r="C56" s="95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ht="16.5" customHeight="1">
      <c r="A57" s="84"/>
      <c r="B57" s="84"/>
      <c r="C57" s="95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ht="16.5" customHeight="1">
      <c r="A58" s="84"/>
      <c r="B58" s="84"/>
      <c r="C58" s="95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ht="16.5" customHeight="1">
      <c r="A59" s="84"/>
      <c r="B59" s="84"/>
      <c r="C59" s="95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ht="16.5" customHeight="1">
      <c r="A60" s="84"/>
      <c r="B60" s="84"/>
      <c r="C60" s="95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ht="16.5" customHeight="1">
      <c r="A61" s="84"/>
      <c r="B61" s="84"/>
      <c r="C61" s="95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ht="16.5" customHeight="1">
      <c r="A62" s="84"/>
      <c r="B62" s="84"/>
      <c r="C62" s="95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ht="16.5" customHeight="1">
      <c r="A63" s="84"/>
      <c r="B63" s="84"/>
      <c r="C63" s="95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ht="16.5" customHeight="1">
      <c r="A64" s="84"/>
      <c r="B64" s="84"/>
      <c r="C64" s="95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ht="16.5" customHeight="1">
      <c r="A65" s="84"/>
      <c r="B65" s="84"/>
      <c r="C65" s="95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ht="16.5" customHeight="1">
      <c r="A66" s="84"/>
      <c r="B66" s="84"/>
      <c r="C66" s="95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ht="16.5" customHeight="1">
      <c r="A67" s="84"/>
      <c r="B67" s="84"/>
      <c r="C67" s="95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ht="16.5" customHeight="1">
      <c r="A68" s="84"/>
      <c r="B68" s="84"/>
      <c r="C68" s="95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ht="16.5" customHeight="1">
      <c r="A69" s="84"/>
      <c r="B69" s="84"/>
      <c r="C69" s="95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ht="16.5" customHeight="1">
      <c r="A70" s="84"/>
      <c r="B70" s="84"/>
      <c r="C70" s="95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ht="16.5" customHeight="1">
      <c r="A71" s="84"/>
      <c r="B71" s="84"/>
      <c r="C71" s="95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ht="16.5" customHeight="1">
      <c r="A72" s="84"/>
      <c r="B72" s="84"/>
      <c r="C72" s="95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ht="16.5" customHeight="1">
      <c r="A73" s="84"/>
      <c r="B73" s="84"/>
      <c r="C73" s="95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ht="16.5" customHeight="1">
      <c r="A74" s="84"/>
      <c r="B74" s="84"/>
      <c r="C74" s="95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ht="16.5" customHeight="1">
      <c r="A75" s="84"/>
      <c r="B75" s="84"/>
      <c r="C75" s="95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ht="16.5" customHeight="1">
      <c r="A76" s="84"/>
      <c r="B76" s="84"/>
      <c r="C76" s="95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ht="16.5" customHeight="1">
      <c r="A77" s="84"/>
      <c r="B77" s="84"/>
      <c r="C77" s="95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ht="16.5" customHeight="1">
      <c r="A78" s="84"/>
      <c r="B78" s="84"/>
      <c r="C78" s="95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ht="16.5" customHeight="1">
      <c r="A79" s="84"/>
      <c r="B79" s="84"/>
      <c r="C79" s="95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ht="16.5" customHeight="1">
      <c r="A80" s="84"/>
      <c r="B80" s="84"/>
      <c r="C80" s="95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ht="16.5" customHeight="1">
      <c r="A81" s="84"/>
      <c r="B81" s="84"/>
      <c r="C81" s="95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ht="16.5" customHeight="1">
      <c r="A82" s="84"/>
      <c r="B82" s="84"/>
      <c r="C82" s="95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ht="16.5" customHeight="1">
      <c r="A83" s="84"/>
      <c r="B83" s="84"/>
      <c r="C83" s="95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ht="16.5" customHeight="1">
      <c r="A84" s="84"/>
      <c r="B84" s="84"/>
      <c r="C84" s="95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ht="16.5" customHeight="1">
      <c r="A85" s="84"/>
      <c r="B85" s="84"/>
      <c r="C85" s="95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ht="16.5" customHeight="1">
      <c r="A86" s="84"/>
      <c r="B86" s="84"/>
      <c r="C86" s="95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ht="16.5" customHeight="1">
      <c r="A87" s="84"/>
      <c r="B87" s="84"/>
      <c r="C87" s="95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ht="16.5" customHeight="1">
      <c r="A88" s="84"/>
      <c r="B88" s="84"/>
      <c r="C88" s="95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ht="16.5" customHeight="1">
      <c r="A89" s="84"/>
      <c r="B89" s="84"/>
      <c r="C89" s="95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ht="16.5" customHeight="1">
      <c r="A90" s="84"/>
      <c r="B90" s="84"/>
      <c r="C90" s="95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ht="16.5" customHeight="1">
      <c r="A91" s="84"/>
      <c r="B91" s="84"/>
      <c r="C91" s="95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ht="16.5" customHeight="1">
      <c r="A92" s="84"/>
      <c r="B92" s="84"/>
      <c r="C92" s="95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ht="16.5" customHeight="1">
      <c r="A93" s="84"/>
      <c r="B93" s="84"/>
      <c r="C93" s="95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ht="16.5" customHeight="1">
      <c r="A94" s="84"/>
      <c r="B94" s="84"/>
      <c r="C94" s="95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ht="16.5" customHeight="1">
      <c r="A95" s="84"/>
      <c r="B95" s="84"/>
      <c r="C95" s="95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ht="16.5" customHeight="1">
      <c r="A96" s="84"/>
      <c r="B96" s="84"/>
      <c r="C96" s="95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ht="16.5" customHeight="1">
      <c r="A97" s="84"/>
      <c r="B97" s="84"/>
      <c r="C97" s="95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ht="16.5" customHeight="1">
      <c r="A98" s="84"/>
      <c r="B98" s="84"/>
      <c r="C98" s="95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ht="16.5" customHeight="1">
      <c r="A99" s="84"/>
      <c r="B99" s="84"/>
      <c r="C99" s="95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ht="16.5" customHeight="1">
      <c r="A100" s="84"/>
      <c r="B100" s="84"/>
      <c r="C100" s="95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ht="16.5" customHeight="1">
      <c r="A101" s="84"/>
      <c r="B101" s="84"/>
      <c r="C101" s="95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ht="16.5" customHeight="1">
      <c r="A102" s="84"/>
      <c r="B102" s="84"/>
      <c r="C102" s="95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ht="16.5" customHeight="1">
      <c r="A103" s="84"/>
      <c r="B103" s="84"/>
      <c r="C103" s="95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ht="16.5" customHeight="1">
      <c r="A104" s="84"/>
      <c r="B104" s="84"/>
      <c r="C104" s="95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ht="16.5" customHeight="1">
      <c r="A105" s="84"/>
      <c r="B105" s="84"/>
      <c r="C105" s="95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ht="16.5" customHeight="1">
      <c r="A106" s="84"/>
      <c r="B106" s="84"/>
      <c r="C106" s="95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ht="16.5" customHeight="1">
      <c r="A107" s="84"/>
      <c r="B107" s="84"/>
      <c r="C107" s="95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ht="16.5" customHeight="1">
      <c r="A108" s="84"/>
      <c r="B108" s="84"/>
      <c r="C108" s="95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ht="16.5" customHeight="1">
      <c r="A109" s="84"/>
      <c r="B109" s="84"/>
      <c r="C109" s="95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ht="16.5" customHeight="1">
      <c r="A110" s="84"/>
      <c r="B110" s="84"/>
      <c r="C110" s="95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ht="16.5" customHeight="1">
      <c r="A111" s="84"/>
      <c r="B111" s="84"/>
      <c r="C111" s="95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ht="16.5" customHeight="1">
      <c r="A112" s="84"/>
      <c r="B112" s="84"/>
      <c r="C112" s="95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ht="16.5" customHeight="1">
      <c r="A113" s="84"/>
      <c r="B113" s="84"/>
      <c r="C113" s="95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ht="16.5" customHeight="1">
      <c r="A114" s="84"/>
      <c r="B114" s="84"/>
      <c r="C114" s="95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ht="16.5" customHeight="1">
      <c r="A115" s="84"/>
      <c r="B115" s="84"/>
      <c r="C115" s="95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ht="16.5" customHeight="1">
      <c r="A116" s="84"/>
      <c r="B116" s="84"/>
      <c r="C116" s="95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ht="16.5" customHeight="1">
      <c r="A117" s="84"/>
      <c r="B117" s="84"/>
      <c r="C117" s="95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6.5" customHeight="1">
      <c r="A118" s="84"/>
      <c r="B118" s="84"/>
      <c r="C118" s="95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ht="16.5" customHeight="1">
      <c r="A119" s="84"/>
      <c r="B119" s="84"/>
      <c r="C119" s="95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ht="16.5" customHeight="1">
      <c r="A120" s="84"/>
      <c r="B120" s="84"/>
      <c r="C120" s="95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ht="16.5" customHeight="1">
      <c r="A121" s="84"/>
      <c r="B121" s="84"/>
      <c r="C121" s="95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ht="16.5" customHeight="1">
      <c r="A122" s="84"/>
      <c r="B122" s="84"/>
      <c r="C122" s="95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ht="16.5" customHeight="1">
      <c r="A123" s="84"/>
      <c r="B123" s="84"/>
      <c r="C123" s="95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ht="16.5" customHeight="1">
      <c r="A124" s="84"/>
      <c r="B124" s="84"/>
      <c r="C124" s="95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ht="16.5" customHeight="1">
      <c r="A125" s="84"/>
      <c r="B125" s="84"/>
      <c r="C125" s="95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ht="16.5" customHeight="1">
      <c r="A126" s="84"/>
      <c r="B126" s="84"/>
      <c r="C126" s="95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ht="16.5" customHeight="1">
      <c r="A127" s="84"/>
      <c r="B127" s="84"/>
      <c r="C127" s="95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ht="16.5" customHeight="1">
      <c r="A128" s="84"/>
      <c r="B128" s="84"/>
      <c r="C128" s="95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ht="16.5" customHeight="1">
      <c r="A129" s="84"/>
      <c r="B129" s="84"/>
      <c r="C129" s="95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ht="16.5" customHeight="1">
      <c r="A130" s="84"/>
      <c r="B130" s="84"/>
      <c r="C130" s="95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ht="16.5" customHeight="1">
      <c r="A131" s="84"/>
      <c r="B131" s="84"/>
      <c r="C131" s="95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ht="16.5" customHeight="1">
      <c r="A132" s="84"/>
      <c r="B132" s="84"/>
      <c r="C132" s="95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ht="16.5" customHeight="1">
      <c r="A133" s="84"/>
      <c r="B133" s="84"/>
      <c r="C133" s="95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ht="16.5" customHeight="1">
      <c r="A134" s="84"/>
      <c r="B134" s="84"/>
      <c r="C134" s="95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ht="16.5" customHeight="1">
      <c r="A135" s="84"/>
      <c r="B135" s="84"/>
      <c r="C135" s="95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ht="16.5" customHeight="1">
      <c r="A136" s="84"/>
      <c r="B136" s="84"/>
      <c r="C136" s="95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ht="16.5" customHeight="1">
      <c r="A137" s="84"/>
      <c r="B137" s="84"/>
      <c r="C137" s="95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ht="16.5" customHeight="1">
      <c r="A138" s="84"/>
      <c r="B138" s="84"/>
      <c r="C138" s="95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ht="16.5" customHeight="1">
      <c r="A139" s="84"/>
      <c r="B139" s="84"/>
      <c r="C139" s="95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ht="16.5" customHeight="1">
      <c r="A140" s="84"/>
      <c r="B140" s="84"/>
      <c r="C140" s="95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ht="16.5" customHeight="1">
      <c r="A141" s="84"/>
      <c r="B141" s="84"/>
      <c r="C141" s="95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ht="16.5" customHeight="1">
      <c r="A142" s="84"/>
      <c r="B142" s="84"/>
      <c r="C142" s="95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ht="16.5" customHeight="1">
      <c r="A143" s="84"/>
      <c r="B143" s="84"/>
      <c r="C143" s="95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ht="16.5" customHeight="1">
      <c r="A144" s="84"/>
      <c r="B144" s="84"/>
      <c r="C144" s="95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6.5" customHeight="1">
      <c r="A145" s="84"/>
      <c r="B145" s="84"/>
      <c r="C145" s="95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ht="16.5" customHeight="1">
      <c r="A146" s="84"/>
      <c r="B146" s="84"/>
      <c r="C146" s="95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ht="16.5" customHeight="1">
      <c r="A147" s="84"/>
      <c r="B147" s="84"/>
      <c r="C147" s="95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ht="16.5" customHeight="1">
      <c r="A148" s="84"/>
      <c r="B148" s="84"/>
      <c r="C148" s="95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ht="16.5" customHeight="1">
      <c r="A149" s="84"/>
      <c r="B149" s="84"/>
      <c r="C149" s="95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ht="16.5" customHeight="1">
      <c r="A150" s="84"/>
      <c r="B150" s="84"/>
      <c r="C150" s="95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ht="16.5" customHeight="1">
      <c r="A151" s="84"/>
      <c r="B151" s="84"/>
      <c r="C151" s="95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ht="16.5" customHeight="1">
      <c r="A152" s="84"/>
      <c r="B152" s="84"/>
      <c r="C152" s="95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ht="16.5" customHeight="1">
      <c r="A153" s="84"/>
      <c r="B153" s="84"/>
      <c r="C153" s="95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ht="16.5" customHeight="1">
      <c r="A154" s="84"/>
      <c r="B154" s="84"/>
      <c r="C154" s="95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ht="16.5" customHeight="1">
      <c r="A155" s="84"/>
      <c r="B155" s="84"/>
      <c r="C155" s="95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ht="16.5" customHeight="1">
      <c r="A156" s="84"/>
      <c r="B156" s="84"/>
      <c r="C156" s="95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ht="16.5" customHeight="1">
      <c r="A157" s="84"/>
      <c r="B157" s="84"/>
      <c r="C157" s="95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ht="16.5" customHeight="1">
      <c r="A158" s="84"/>
      <c r="B158" s="84"/>
      <c r="C158" s="95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ht="16.5" customHeight="1">
      <c r="A159" s="84"/>
      <c r="B159" s="84"/>
      <c r="C159" s="95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ht="16.5" customHeight="1">
      <c r="A160" s="84"/>
      <c r="B160" s="84"/>
      <c r="C160" s="95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ht="16.5" customHeight="1">
      <c r="A161" s="84"/>
      <c r="B161" s="84"/>
      <c r="C161" s="95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ht="16.5" customHeight="1">
      <c r="A162" s="84"/>
      <c r="B162" s="84"/>
      <c r="C162" s="95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ht="16.5" customHeight="1">
      <c r="A163" s="84"/>
      <c r="B163" s="84"/>
      <c r="C163" s="95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ht="16.5" customHeight="1">
      <c r="A164" s="84"/>
      <c r="B164" s="84"/>
      <c r="C164" s="95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ht="16.5" customHeight="1">
      <c r="A165" s="84"/>
      <c r="B165" s="84"/>
      <c r="C165" s="95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ht="16.5" customHeight="1">
      <c r="A166" s="84"/>
      <c r="B166" s="84"/>
      <c r="C166" s="95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ht="16.5" customHeight="1">
      <c r="A167" s="84"/>
      <c r="B167" s="84"/>
      <c r="C167" s="95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ht="16.5" customHeight="1">
      <c r="A168" s="84"/>
      <c r="B168" s="84"/>
      <c r="C168" s="95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ht="16.5" customHeight="1">
      <c r="A169" s="84"/>
      <c r="B169" s="84"/>
      <c r="C169" s="95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ht="16.5" customHeight="1">
      <c r="A170" s="84"/>
      <c r="B170" s="84"/>
      <c r="C170" s="95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16.5" customHeight="1">
      <c r="A171" s="84"/>
      <c r="B171" s="84"/>
      <c r="C171" s="95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ht="16.5" customHeight="1">
      <c r="A172" s="84"/>
      <c r="B172" s="84"/>
      <c r="C172" s="95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ht="16.5" customHeight="1">
      <c r="A173" s="84"/>
      <c r="B173" s="84"/>
      <c r="C173" s="95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ht="16.5" customHeight="1">
      <c r="A174" s="84"/>
      <c r="B174" s="84"/>
      <c r="C174" s="95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ht="16.5" customHeight="1">
      <c r="A175" s="84"/>
      <c r="B175" s="84"/>
      <c r="C175" s="95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ht="16.5" customHeight="1">
      <c r="A176" s="84"/>
      <c r="B176" s="84"/>
      <c r="C176" s="95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ht="16.5" customHeight="1">
      <c r="A177" s="84"/>
      <c r="B177" s="84"/>
      <c r="C177" s="95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ht="16.5" customHeight="1">
      <c r="A178" s="84"/>
      <c r="B178" s="84"/>
      <c r="C178" s="95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ht="16.5" customHeight="1">
      <c r="A179" s="84"/>
      <c r="B179" s="84"/>
      <c r="C179" s="95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ht="16.5" customHeight="1">
      <c r="A180" s="84"/>
      <c r="B180" s="84"/>
      <c r="C180" s="95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ht="16.5" customHeight="1">
      <c r="A181" s="84"/>
      <c r="B181" s="84"/>
      <c r="C181" s="95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ht="16.5" customHeight="1">
      <c r="A182" s="84"/>
      <c r="B182" s="84"/>
      <c r="C182" s="95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ht="16.5" customHeight="1">
      <c r="A183" s="84"/>
      <c r="B183" s="84"/>
      <c r="C183" s="95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ht="16.5" customHeight="1">
      <c r="A184" s="84"/>
      <c r="B184" s="84"/>
      <c r="C184" s="95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ht="16.5" customHeight="1">
      <c r="A185" s="84"/>
      <c r="B185" s="84"/>
      <c r="C185" s="95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ht="16.5" customHeight="1">
      <c r="A186" s="84"/>
      <c r="B186" s="84"/>
      <c r="C186" s="95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ht="16.5" customHeight="1">
      <c r="A187" s="84"/>
      <c r="B187" s="84"/>
      <c r="C187" s="95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ht="16.5" customHeight="1">
      <c r="A188" s="84"/>
      <c r="B188" s="84"/>
      <c r="C188" s="95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ht="16.5" customHeight="1">
      <c r="A189" s="84"/>
      <c r="B189" s="84"/>
      <c r="C189" s="95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ht="16.5" customHeight="1">
      <c r="A190" s="84"/>
      <c r="B190" s="84"/>
      <c r="C190" s="95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ht="16.5" customHeight="1">
      <c r="A191" s="84"/>
      <c r="B191" s="84"/>
      <c r="C191" s="95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ht="16.5" customHeight="1">
      <c r="A192" s="84"/>
      <c r="B192" s="84"/>
      <c r="C192" s="95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ht="16.5" customHeight="1">
      <c r="A193" s="84"/>
      <c r="B193" s="84"/>
      <c r="C193" s="95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ht="16.5" customHeight="1">
      <c r="A194" s="84"/>
      <c r="B194" s="84"/>
      <c r="C194" s="95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ht="16.5" customHeight="1">
      <c r="A195" s="84"/>
      <c r="B195" s="84"/>
      <c r="C195" s="95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ht="16.5" customHeight="1">
      <c r="A196" s="84"/>
      <c r="B196" s="84"/>
      <c r="C196" s="95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ht="16.5" customHeight="1">
      <c r="A197" s="84"/>
      <c r="B197" s="84"/>
      <c r="C197" s="95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ht="16.5" customHeight="1">
      <c r="A198" s="84"/>
      <c r="B198" s="84"/>
      <c r="C198" s="95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ht="16.5" customHeight="1">
      <c r="A199" s="84"/>
      <c r="B199" s="84"/>
      <c r="C199" s="95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ht="16.5" customHeight="1">
      <c r="A200" s="84"/>
      <c r="B200" s="84"/>
      <c r="C200" s="95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ht="16.5" customHeight="1">
      <c r="A201" s="84"/>
      <c r="B201" s="84"/>
      <c r="C201" s="95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ht="16.5" customHeight="1">
      <c r="A202" s="84"/>
      <c r="B202" s="84"/>
      <c r="C202" s="95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ht="16.5" customHeight="1">
      <c r="A203" s="84"/>
      <c r="B203" s="84"/>
      <c r="C203" s="95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ht="16.5" customHeight="1">
      <c r="A204" s="84"/>
      <c r="B204" s="84"/>
      <c r="C204" s="95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ht="16.5" customHeight="1">
      <c r="A205" s="84"/>
      <c r="B205" s="84"/>
      <c r="C205" s="95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ht="16.5" customHeight="1">
      <c r="A206" s="84"/>
      <c r="B206" s="84"/>
      <c r="C206" s="95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ht="16.5" customHeight="1">
      <c r="A207" s="84"/>
      <c r="B207" s="84"/>
      <c r="C207" s="95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ht="16.5" customHeight="1">
      <c r="A208" s="84"/>
      <c r="B208" s="84"/>
      <c r="C208" s="95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ht="16.5" customHeight="1">
      <c r="A209" s="84"/>
      <c r="B209" s="84"/>
      <c r="C209" s="95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ht="16.5" customHeight="1">
      <c r="A210" s="84"/>
      <c r="B210" s="84"/>
      <c r="C210" s="95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ht="16.5" customHeight="1">
      <c r="A211" s="84"/>
      <c r="B211" s="84"/>
      <c r="C211" s="95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ht="16.5" customHeight="1">
      <c r="A212" s="84"/>
      <c r="B212" s="84"/>
      <c r="C212" s="95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ht="16.5" customHeight="1">
      <c r="A213" s="84"/>
      <c r="B213" s="84"/>
      <c r="C213" s="95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ht="16.5" customHeight="1">
      <c r="A214" s="84"/>
      <c r="B214" s="84"/>
      <c r="C214" s="95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ht="16.5" customHeight="1">
      <c r="A215" s="84"/>
      <c r="B215" s="84"/>
      <c r="C215" s="95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ht="16.5" customHeight="1">
      <c r="A216" s="84"/>
      <c r="B216" s="84"/>
      <c r="C216" s="95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ht="16.5" customHeight="1">
      <c r="A217" s="84"/>
      <c r="B217" s="84"/>
      <c r="C217" s="95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ht="16.5" customHeight="1">
      <c r="A218" s="84"/>
      <c r="B218" s="84"/>
      <c r="C218" s="95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ht="16.5" customHeight="1">
      <c r="A219" s="84"/>
      <c r="B219" s="84"/>
      <c r="C219" s="95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ht="16.5" customHeight="1">
      <c r="A220" s="84"/>
      <c r="B220" s="84"/>
      <c r="C220" s="95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ht="16.5" customHeight="1">
      <c r="A221" s="84"/>
      <c r="B221" s="84"/>
      <c r="C221" s="95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ht="16.5" customHeight="1">
      <c r="A222" s="84"/>
      <c r="B222" s="84"/>
      <c r="C222" s="95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ht="16.5" customHeight="1">
      <c r="A223" s="84"/>
      <c r="B223" s="84"/>
      <c r="C223" s="95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ht="16.5" customHeight="1">
      <c r="A224" s="84"/>
      <c r="B224" s="84"/>
      <c r="C224" s="95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ht="16.5" customHeight="1">
      <c r="A225" s="84"/>
      <c r="B225" s="84"/>
      <c r="C225" s="95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ht="16.5" customHeight="1">
      <c r="A226" s="84"/>
      <c r="B226" s="84"/>
      <c r="C226" s="95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ht="16.5" customHeight="1">
      <c r="A227" s="84"/>
      <c r="B227" s="84"/>
      <c r="C227" s="95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ht="16.5" customHeight="1">
      <c r="A228" s="84"/>
      <c r="B228" s="84"/>
      <c r="C228" s="95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ht="16.5" customHeight="1">
      <c r="A229" s="84"/>
      <c r="B229" s="84"/>
      <c r="C229" s="95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ht="16.5" customHeight="1">
      <c r="A230" s="84"/>
      <c r="B230" s="84"/>
      <c r="C230" s="95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ht="16.5" customHeight="1">
      <c r="A231" s="84"/>
      <c r="B231" s="84"/>
      <c r="C231" s="95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ht="16.5" customHeight="1">
      <c r="A232" s="84"/>
      <c r="B232" s="84"/>
      <c r="C232" s="95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ht="16.5" customHeight="1">
      <c r="A233" s="84"/>
      <c r="B233" s="84"/>
      <c r="C233" s="95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ht="16.5" customHeight="1">
      <c r="A234" s="84"/>
      <c r="B234" s="84"/>
      <c r="C234" s="95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ht="16.5" customHeight="1">
      <c r="A235" s="84"/>
      <c r="B235" s="84"/>
      <c r="C235" s="95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ht="16.5" customHeight="1">
      <c r="A236" s="84"/>
      <c r="B236" s="84"/>
      <c r="C236" s="95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ht="16.5" customHeight="1">
      <c r="A237" s="84"/>
      <c r="B237" s="84"/>
      <c r="C237" s="95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ht="16.5" customHeight="1">
      <c r="A238" s="84"/>
      <c r="B238" s="84"/>
      <c r="C238" s="95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ht="16.5" customHeight="1">
      <c r="A239" s="84"/>
      <c r="B239" s="84"/>
      <c r="C239" s="95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ht="16.5" customHeight="1">
      <c r="A240" s="84"/>
      <c r="B240" s="84"/>
      <c r="C240" s="95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ht="16.5" customHeight="1">
      <c r="A241" s="84"/>
      <c r="B241" s="84"/>
      <c r="C241" s="95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ht="16.5" customHeight="1">
      <c r="A242" s="84"/>
      <c r="B242" s="84"/>
      <c r="C242" s="95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ht="16.5" customHeight="1">
      <c r="A243" s="84"/>
      <c r="B243" s="84"/>
      <c r="C243" s="95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ht="16.5" customHeight="1">
      <c r="A244" s="84"/>
      <c r="B244" s="84"/>
      <c r="C244" s="95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ht="16.5" customHeight="1">
      <c r="A245" s="84"/>
      <c r="B245" s="84"/>
      <c r="C245" s="95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ht="16.5" customHeight="1">
      <c r="A246" s="84"/>
      <c r="B246" s="84"/>
      <c r="C246" s="95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ht="16.5" customHeight="1">
      <c r="A247" s="84"/>
      <c r="B247" s="84"/>
      <c r="C247" s="95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ht="16.5" customHeight="1">
      <c r="A248" s="84"/>
      <c r="B248" s="84"/>
      <c r="C248" s="95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ht="16.5" customHeight="1">
      <c r="A249" s="84"/>
      <c r="B249" s="84"/>
      <c r="C249" s="95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ht="16.5" customHeight="1">
      <c r="A250" s="84"/>
      <c r="B250" s="84"/>
      <c r="C250" s="95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ht="16.5" customHeight="1">
      <c r="A251" s="84"/>
      <c r="B251" s="84"/>
      <c r="C251" s="95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ht="16.5" customHeight="1">
      <c r="A252" s="84"/>
      <c r="B252" s="84"/>
      <c r="C252" s="95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ht="16.5" customHeight="1">
      <c r="A253" s="84"/>
      <c r="B253" s="84"/>
      <c r="C253" s="95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ht="16.5" customHeight="1">
      <c r="A254" s="84"/>
      <c r="B254" s="84"/>
      <c r="C254" s="95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ht="16.5" customHeight="1">
      <c r="A255" s="84"/>
      <c r="B255" s="84"/>
      <c r="C255" s="95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ht="16.5" customHeight="1">
      <c r="A256" s="84"/>
      <c r="B256" s="84"/>
      <c r="C256" s="95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ht="16.5" customHeight="1">
      <c r="A257" s="84"/>
      <c r="B257" s="84"/>
      <c r="C257" s="95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ht="16.5" customHeight="1">
      <c r="A258" s="84"/>
      <c r="B258" s="84"/>
      <c r="C258" s="95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ht="16.5" customHeight="1">
      <c r="A259" s="84"/>
      <c r="B259" s="84"/>
      <c r="C259" s="95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ht="16.5" customHeight="1">
      <c r="A260" s="84"/>
      <c r="B260" s="84"/>
      <c r="C260" s="95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ht="16.5" customHeight="1">
      <c r="A261" s="84"/>
      <c r="B261" s="84"/>
      <c r="C261" s="95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ht="16.5" customHeight="1">
      <c r="A262" s="84"/>
      <c r="B262" s="84"/>
      <c r="C262" s="95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ht="16.5" customHeight="1">
      <c r="A263" s="84"/>
      <c r="B263" s="84"/>
      <c r="C263" s="95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ht="16.5" customHeight="1">
      <c r="A264" s="84"/>
      <c r="B264" s="84"/>
      <c r="C264" s="95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ht="16.5" customHeight="1">
      <c r="A265" s="84"/>
      <c r="B265" s="84"/>
      <c r="C265" s="95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ht="16.5" customHeight="1">
      <c r="A266" s="84"/>
      <c r="B266" s="84"/>
      <c r="C266" s="95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ht="16.5" customHeight="1">
      <c r="A267" s="84"/>
      <c r="B267" s="84"/>
      <c r="C267" s="95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ht="16.5" customHeight="1">
      <c r="A268" s="84"/>
      <c r="B268" s="84"/>
      <c r="C268" s="95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ht="16.5" customHeight="1">
      <c r="A269" s="84"/>
      <c r="B269" s="84"/>
      <c r="C269" s="95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ht="16.5" customHeight="1">
      <c r="A270" s="84"/>
      <c r="B270" s="84"/>
      <c r="C270" s="95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6.5" customHeight="1">
      <c r="A271" s="84"/>
      <c r="B271" s="84"/>
      <c r="C271" s="95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ht="16.5" customHeight="1">
      <c r="A272" s="84"/>
      <c r="B272" s="84"/>
      <c r="C272" s="95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ht="16.5" customHeight="1">
      <c r="A273" s="84"/>
      <c r="B273" s="84"/>
      <c r="C273" s="95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ht="16.5" customHeight="1">
      <c r="A274" s="84"/>
      <c r="B274" s="84"/>
      <c r="C274" s="95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ht="16.5" customHeight="1">
      <c r="A275" s="84"/>
      <c r="B275" s="84"/>
      <c r="C275" s="95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ht="16.5" customHeight="1">
      <c r="A276" s="84"/>
      <c r="B276" s="84"/>
      <c r="C276" s="95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ht="16.5" customHeight="1">
      <c r="A277" s="84"/>
      <c r="B277" s="84"/>
      <c r="C277" s="95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ht="16.5" customHeight="1">
      <c r="A278" s="84"/>
      <c r="B278" s="84"/>
      <c r="C278" s="95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ht="16.5" customHeight="1">
      <c r="A279" s="84"/>
      <c r="B279" s="84"/>
      <c r="C279" s="95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ht="16.5" customHeight="1">
      <c r="A280" s="84"/>
      <c r="B280" s="84"/>
      <c r="C280" s="95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ht="16.5" customHeight="1">
      <c r="A281" s="84"/>
      <c r="B281" s="84"/>
      <c r="C281" s="95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ht="16.5" customHeight="1">
      <c r="A282" s="84"/>
      <c r="B282" s="84"/>
      <c r="C282" s="95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ht="16.5" customHeight="1">
      <c r="A283" s="84"/>
      <c r="B283" s="84"/>
      <c r="C283" s="95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ht="16.5" customHeight="1">
      <c r="A284" s="84"/>
      <c r="B284" s="84"/>
      <c r="C284" s="95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ht="16.5" customHeight="1">
      <c r="A285" s="84"/>
      <c r="B285" s="84"/>
      <c r="C285" s="95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ht="16.5" customHeight="1">
      <c r="A286" s="84"/>
      <c r="B286" s="84"/>
      <c r="C286" s="95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ht="16.5" customHeight="1">
      <c r="A287" s="84"/>
      <c r="B287" s="84"/>
      <c r="C287" s="95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ht="16.5" customHeight="1">
      <c r="A288" s="84"/>
      <c r="B288" s="84"/>
      <c r="C288" s="95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ht="16.5" customHeight="1">
      <c r="A289" s="84"/>
      <c r="B289" s="84"/>
      <c r="C289" s="95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ht="16.5" customHeight="1">
      <c r="A290" s="84"/>
      <c r="B290" s="84"/>
      <c r="C290" s="95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ht="16.5" customHeight="1">
      <c r="A291" s="84"/>
      <c r="B291" s="84"/>
      <c r="C291" s="95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ht="16.5" customHeight="1">
      <c r="A292" s="84"/>
      <c r="B292" s="84"/>
      <c r="C292" s="95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ht="16.5" customHeight="1">
      <c r="A293" s="84"/>
      <c r="B293" s="84"/>
      <c r="C293" s="95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ht="16.5" customHeight="1">
      <c r="A294" s="84"/>
      <c r="B294" s="84"/>
      <c r="C294" s="95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ht="16.5" customHeight="1">
      <c r="A295" s="84"/>
      <c r="B295" s="84"/>
      <c r="C295" s="95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ht="16.5" customHeight="1">
      <c r="A296" s="84"/>
      <c r="B296" s="84"/>
      <c r="C296" s="95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ht="16.5" customHeight="1">
      <c r="A297" s="84"/>
      <c r="B297" s="84"/>
      <c r="C297" s="95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ht="16.5" customHeight="1">
      <c r="A298" s="84"/>
      <c r="B298" s="84"/>
      <c r="C298" s="95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ht="16.5" customHeight="1">
      <c r="A299" s="84"/>
      <c r="B299" s="84"/>
      <c r="C299" s="95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ht="16.5" customHeight="1">
      <c r="A300" s="84"/>
      <c r="B300" s="84"/>
      <c r="C300" s="95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ht="16.5" customHeight="1">
      <c r="A301" s="84"/>
      <c r="B301" s="84"/>
      <c r="C301" s="95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ht="16.5" customHeight="1">
      <c r="A302" s="84"/>
      <c r="B302" s="84"/>
      <c r="C302" s="95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ht="16.5" customHeight="1">
      <c r="A303" s="84"/>
      <c r="B303" s="84"/>
      <c r="C303" s="95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ht="16.5" customHeight="1">
      <c r="A304" s="84"/>
      <c r="B304" s="84"/>
      <c r="C304" s="95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ht="16.5" customHeight="1">
      <c r="A305" s="84"/>
      <c r="B305" s="84"/>
      <c r="C305" s="95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ht="16.5" customHeight="1">
      <c r="A306" s="84"/>
      <c r="B306" s="84"/>
      <c r="C306" s="95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ht="16.5" customHeight="1">
      <c r="A307" s="84"/>
      <c r="B307" s="84"/>
      <c r="C307" s="95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ht="16.5" customHeight="1">
      <c r="A308" s="84"/>
      <c r="B308" s="84"/>
      <c r="C308" s="95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ht="16.5" customHeight="1">
      <c r="A309" s="84"/>
      <c r="B309" s="84"/>
      <c r="C309" s="95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ht="16.5" customHeight="1">
      <c r="A310" s="84"/>
      <c r="B310" s="84"/>
      <c r="C310" s="95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ht="16.5" customHeight="1">
      <c r="A311" s="84"/>
      <c r="B311" s="84"/>
      <c r="C311" s="95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ht="16.5" customHeight="1">
      <c r="A312" s="84"/>
      <c r="B312" s="84"/>
      <c r="C312" s="95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ht="16.5" customHeight="1">
      <c r="A313" s="84"/>
      <c r="B313" s="84"/>
      <c r="C313" s="95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ht="16.5" customHeight="1">
      <c r="A314" s="84"/>
      <c r="B314" s="84"/>
      <c r="C314" s="95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ht="16.5" customHeight="1">
      <c r="A315" s="84"/>
      <c r="B315" s="84"/>
      <c r="C315" s="95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ht="16.5" customHeight="1">
      <c r="A316" s="84"/>
      <c r="B316" s="84"/>
      <c r="C316" s="95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ht="16.5" customHeight="1">
      <c r="A317" s="84"/>
      <c r="B317" s="84"/>
      <c r="C317" s="95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ht="16.5" customHeight="1">
      <c r="A318" s="84"/>
      <c r="B318" s="84"/>
      <c r="C318" s="95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ht="16.5" customHeight="1">
      <c r="A319" s="84"/>
      <c r="B319" s="84"/>
      <c r="C319" s="95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ht="16.5" customHeight="1">
      <c r="A320" s="84"/>
      <c r="B320" s="84"/>
      <c r="C320" s="95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ht="16.5" customHeight="1">
      <c r="A321" s="84"/>
      <c r="B321" s="84"/>
      <c r="C321" s="95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ht="16.5" customHeight="1">
      <c r="A322" s="84"/>
      <c r="B322" s="84"/>
      <c r="C322" s="95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ht="16.5" customHeight="1">
      <c r="A323" s="84"/>
      <c r="B323" s="84"/>
      <c r="C323" s="95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ht="16.5" customHeight="1">
      <c r="A324" s="84"/>
      <c r="B324" s="84"/>
      <c r="C324" s="95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ht="16.5" customHeight="1">
      <c r="A325" s="84"/>
      <c r="B325" s="84"/>
      <c r="C325" s="95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ht="16.5" customHeight="1">
      <c r="A326" s="84"/>
      <c r="B326" s="84"/>
      <c r="C326" s="95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ht="16.5" customHeight="1">
      <c r="A327" s="84"/>
      <c r="B327" s="84"/>
      <c r="C327" s="95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ht="16.5" customHeight="1">
      <c r="A328" s="84"/>
      <c r="B328" s="84"/>
      <c r="C328" s="95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ht="16.5" customHeight="1">
      <c r="A329" s="84"/>
      <c r="B329" s="84"/>
      <c r="C329" s="95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ht="16.5" customHeight="1">
      <c r="A330" s="84"/>
      <c r="B330" s="84"/>
      <c r="C330" s="95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ht="16.5" customHeight="1">
      <c r="A331" s="84"/>
      <c r="B331" s="84"/>
      <c r="C331" s="95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ht="16.5" customHeight="1">
      <c r="A332" s="84"/>
      <c r="B332" s="84"/>
      <c r="C332" s="95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ht="16.5" customHeight="1">
      <c r="A333" s="84"/>
      <c r="B333" s="84"/>
      <c r="C333" s="95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ht="16.5" customHeight="1">
      <c r="A334" s="84"/>
      <c r="B334" s="84"/>
      <c r="C334" s="95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ht="16.5" customHeight="1">
      <c r="A335" s="84"/>
      <c r="B335" s="84"/>
      <c r="C335" s="95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ht="16.5" customHeight="1">
      <c r="A336" s="84"/>
      <c r="B336" s="84"/>
      <c r="C336" s="95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ht="16.5" customHeight="1">
      <c r="A337" s="84"/>
      <c r="B337" s="84"/>
      <c r="C337" s="95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ht="16.5" customHeight="1">
      <c r="A338" s="84"/>
      <c r="B338" s="84"/>
      <c r="C338" s="95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ht="16.5" customHeight="1">
      <c r="A339" s="84"/>
      <c r="B339" s="84"/>
      <c r="C339" s="95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ht="16.5" customHeight="1">
      <c r="A340" s="84"/>
      <c r="B340" s="84"/>
      <c r="C340" s="95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ht="16.5" customHeight="1">
      <c r="A341" s="84"/>
      <c r="B341" s="84"/>
      <c r="C341" s="95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ht="16.5" customHeight="1">
      <c r="A342" s="84"/>
      <c r="B342" s="84"/>
      <c r="C342" s="95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ht="16.5" customHeight="1">
      <c r="A343" s="84"/>
      <c r="B343" s="84"/>
      <c r="C343" s="95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ht="16.5" customHeight="1">
      <c r="A344" s="84"/>
      <c r="B344" s="84"/>
      <c r="C344" s="95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ht="16.5" customHeight="1">
      <c r="A345" s="84"/>
      <c r="B345" s="84"/>
      <c r="C345" s="95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ht="16.5" customHeight="1">
      <c r="A346" s="84"/>
      <c r="B346" s="84"/>
      <c r="C346" s="95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ht="16.5" customHeight="1">
      <c r="A347" s="84"/>
      <c r="B347" s="84"/>
      <c r="C347" s="95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ht="16.5" customHeight="1">
      <c r="A348" s="84"/>
      <c r="B348" s="84"/>
      <c r="C348" s="95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ht="16.5" customHeight="1">
      <c r="A349" s="84"/>
      <c r="B349" s="84"/>
      <c r="C349" s="95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ht="16.5" customHeight="1">
      <c r="A350" s="84"/>
      <c r="B350" s="84"/>
      <c r="C350" s="95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ht="16.5" customHeight="1">
      <c r="A351" s="84"/>
      <c r="B351" s="84"/>
      <c r="C351" s="95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ht="16.5" customHeight="1">
      <c r="A352" s="84"/>
      <c r="B352" s="84"/>
      <c r="C352" s="95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ht="16.5" customHeight="1">
      <c r="A353" s="84"/>
      <c r="B353" s="84"/>
      <c r="C353" s="95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ht="16.5" customHeight="1">
      <c r="A354" s="84"/>
      <c r="B354" s="84"/>
      <c r="C354" s="95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ht="16.5" customHeight="1">
      <c r="A355" s="84"/>
      <c r="B355" s="84"/>
      <c r="C355" s="95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ht="16.5" customHeight="1">
      <c r="A356" s="84"/>
      <c r="B356" s="84"/>
      <c r="C356" s="95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ht="16.5" customHeight="1">
      <c r="A357" s="84"/>
      <c r="B357" s="84"/>
      <c r="C357" s="95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ht="16.5" customHeight="1">
      <c r="A358" s="84"/>
      <c r="B358" s="84"/>
      <c r="C358" s="95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ht="16.5" customHeight="1">
      <c r="A359" s="84"/>
      <c r="B359" s="84"/>
      <c r="C359" s="95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ht="16.5" customHeight="1">
      <c r="A360" s="84"/>
      <c r="B360" s="84"/>
      <c r="C360" s="95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ht="16.5" customHeight="1">
      <c r="A361" s="84"/>
      <c r="B361" s="84"/>
      <c r="C361" s="95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ht="16.5" customHeight="1">
      <c r="A362" s="84"/>
      <c r="B362" s="84"/>
      <c r="C362" s="95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ht="16.5" customHeight="1">
      <c r="A363" s="84"/>
      <c r="B363" s="84"/>
      <c r="C363" s="95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ht="16.5" customHeight="1">
      <c r="A364" s="84"/>
      <c r="B364" s="84"/>
      <c r="C364" s="95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ht="16.5" customHeight="1">
      <c r="A365" s="84"/>
      <c r="B365" s="84"/>
      <c r="C365" s="95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ht="16.5" customHeight="1">
      <c r="A366" s="84"/>
      <c r="B366" s="84"/>
      <c r="C366" s="95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ht="16.5" customHeight="1">
      <c r="A367" s="84"/>
      <c r="B367" s="84"/>
      <c r="C367" s="95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ht="16.5" customHeight="1">
      <c r="A368" s="84"/>
      <c r="B368" s="84"/>
      <c r="C368" s="95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ht="16.5" customHeight="1">
      <c r="A369" s="84"/>
      <c r="B369" s="84"/>
      <c r="C369" s="95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ht="16.5" customHeight="1">
      <c r="A370" s="84"/>
      <c r="B370" s="84"/>
      <c r="C370" s="95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ht="16.5" customHeight="1">
      <c r="A371" s="84"/>
      <c r="B371" s="84"/>
      <c r="C371" s="95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ht="16.5" customHeight="1">
      <c r="A372" s="84"/>
      <c r="B372" s="84"/>
      <c r="C372" s="95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ht="16.5" customHeight="1">
      <c r="A373" s="84"/>
      <c r="B373" s="84"/>
      <c r="C373" s="95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ht="16.5" customHeight="1">
      <c r="A374" s="84"/>
      <c r="B374" s="84"/>
      <c r="C374" s="95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ht="16.5" customHeight="1">
      <c r="A375" s="84"/>
      <c r="B375" s="84"/>
      <c r="C375" s="95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ht="16.5" customHeight="1">
      <c r="A376" s="84"/>
      <c r="B376" s="84"/>
      <c r="C376" s="95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ht="16.5" customHeight="1">
      <c r="A377" s="84"/>
      <c r="B377" s="84"/>
      <c r="C377" s="95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ht="16.5" customHeight="1">
      <c r="A378" s="84"/>
      <c r="B378" s="84"/>
      <c r="C378" s="95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ht="16.5" customHeight="1">
      <c r="A379" s="84"/>
      <c r="B379" s="84"/>
      <c r="C379" s="95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ht="16.5" customHeight="1">
      <c r="A380" s="84"/>
      <c r="B380" s="84"/>
      <c r="C380" s="95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ht="16.5" customHeight="1">
      <c r="A381" s="84"/>
      <c r="B381" s="84"/>
      <c r="C381" s="95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ht="16.5" customHeight="1">
      <c r="A382" s="84"/>
      <c r="B382" s="84"/>
      <c r="C382" s="95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6.5" customHeight="1">
      <c r="A383" s="84"/>
      <c r="B383" s="84"/>
      <c r="C383" s="95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6.5" customHeight="1">
      <c r="A384" s="84"/>
      <c r="B384" s="84"/>
      <c r="C384" s="95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6.5" customHeight="1">
      <c r="A385" s="84"/>
      <c r="B385" s="84"/>
      <c r="C385" s="95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6.5" customHeight="1">
      <c r="A386" s="84"/>
      <c r="B386" s="84"/>
      <c r="C386" s="95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6.5" customHeight="1">
      <c r="A387" s="84"/>
      <c r="B387" s="84"/>
      <c r="C387" s="95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6.5" customHeight="1">
      <c r="A388" s="84"/>
      <c r="B388" s="84"/>
      <c r="C388" s="95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6.5" customHeight="1">
      <c r="A389" s="84"/>
      <c r="B389" s="84"/>
      <c r="C389" s="95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6.5" customHeight="1">
      <c r="A390" s="84"/>
      <c r="B390" s="84"/>
      <c r="C390" s="95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6.5" customHeight="1">
      <c r="A391" s="84"/>
      <c r="B391" s="84"/>
      <c r="C391" s="95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6.5" customHeight="1">
      <c r="A392" s="84"/>
      <c r="B392" s="84"/>
      <c r="C392" s="95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6.5" customHeight="1">
      <c r="A393" s="84"/>
      <c r="B393" s="84"/>
      <c r="C393" s="95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6.5" customHeight="1">
      <c r="A394" s="84"/>
      <c r="B394" s="84"/>
      <c r="C394" s="95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6.5" customHeight="1">
      <c r="A395" s="84"/>
      <c r="B395" s="84"/>
      <c r="C395" s="95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6.5" customHeight="1">
      <c r="A396" s="84"/>
      <c r="B396" s="84"/>
      <c r="C396" s="95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6.5" customHeight="1">
      <c r="A397" s="84"/>
      <c r="B397" s="84"/>
      <c r="C397" s="95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6.5" customHeight="1">
      <c r="A398" s="84"/>
      <c r="B398" s="84"/>
      <c r="C398" s="95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6.5" customHeight="1">
      <c r="A399" s="84"/>
      <c r="B399" s="84"/>
      <c r="C399" s="95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6.5" customHeight="1">
      <c r="A400" s="84"/>
      <c r="B400" s="84"/>
      <c r="C400" s="95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6.5" customHeight="1">
      <c r="A401" s="84"/>
      <c r="B401" s="84"/>
      <c r="C401" s="95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6.5" customHeight="1">
      <c r="A402" s="84"/>
      <c r="B402" s="84"/>
      <c r="C402" s="95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6.5" customHeight="1">
      <c r="A403" s="84"/>
      <c r="B403" s="84"/>
      <c r="C403" s="95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6.5" customHeight="1">
      <c r="A404" s="84"/>
      <c r="B404" s="84"/>
      <c r="C404" s="95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6.5" customHeight="1">
      <c r="A405" s="84"/>
      <c r="B405" s="84"/>
      <c r="C405" s="95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6.5" customHeight="1">
      <c r="A406" s="84"/>
      <c r="B406" s="84"/>
      <c r="C406" s="95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6.5" customHeight="1">
      <c r="A407" s="84"/>
      <c r="B407" s="84"/>
      <c r="C407" s="95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6.5" customHeight="1">
      <c r="A408" s="84"/>
      <c r="B408" s="84"/>
      <c r="C408" s="95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6.5" customHeight="1">
      <c r="A409" s="84"/>
      <c r="B409" s="84"/>
      <c r="C409" s="95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6.5" customHeight="1">
      <c r="A410" s="84"/>
      <c r="B410" s="84"/>
      <c r="C410" s="95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6.5" customHeight="1">
      <c r="A411" s="84"/>
      <c r="B411" s="84"/>
      <c r="C411" s="95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6.5" customHeight="1">
      <c r="A412" s="84"/>
      <c r="B412" s="84"/>
      <c r="C412" s="95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6.5" customHeight="1">
      <c r="A413" s="84"/>
      <c r="B413" s="84"/>
      <c r="C413" s="95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6.5" customHeight="1">
      <c r="A414" s="84"/>
      <c r="B414" s="84"/>
      <c r="C414" s="95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6.5" customHeight="1">
      <c r="A415" s="84"/>
      <c r="B415" s="84"/>
      <c r="C415" s="95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6.5" customHeight="1">
      <c r="A416" s="84"/>
      <c r="B416" s="84"/>
      <c r="C416" s="95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6.5" customHeight="1">
      <c r="A417" s="84"/>
      <c r="B417" s="84"/>
      <c r="C417" s="95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6.5" customHeight="1">
      <c r="A418" s="84"/>
      <c r="B418" s="84"/>
      <c r="C418" s="95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6.5" customHeight="1">
      <c r="A419" s="84"/>
      <c r="B419" s="84"/>
      <c r="C419" s="95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6.5" customHeight="1">
      <c r="A420" s="84"/>
      <c r="B420" s="84"/>
      <c r="C420" s="95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6.5" customHeight="1">
      <c r="A421" s="84"/>
      <c r="B421" s="84"/>
      <c r="C421" s="95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6.5" customHeight="1">
      <c r="A422" s="84"/>
      <c r="B422" s="84"/>
      <c r="C422" s="95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6.5" customHeight="1">
      <c r="A423" s="84"/>
      <c r="B423" s="84"/>
      <c r="C423" s="95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6.5" customHeight="1">
      <c r="A424" s="84"/>
      <c r="B424" s="84"/>
      <c r="C424" s="95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6.5" customHeight="1">
      <c r="A425" s="84"/>
      <c r="B425" s="84"/>
      <c r="C425" s="95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6.5" customHeight="1">
      <c r="A426" s="84"/>
      <c r="B426" s="84"/>
      <c r="C426" s="95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6.5" customHeight="1">
      <c r="A427" s="84"/>
      <c r="B427" s="84"/>
      <c r="C427" s="95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6.5" customHeight="1">
      <c r="A428" s="84"/>
      <c r="B428" s="84"/>
      <c r="C428" s="95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6.5" customHeight="1">
      <c r="A429" s="84"/>
      <c r="B429" s="84"/>
      <c r="C429" s="95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6.5" customHeight="1">
      <c r="A430" s="84"/>
      <c r="B430" s="84"/>
      <c r="C430" s="95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6.5" customHeight="1">
      <c r="A431" s="84"/>
      <c r="B431" s="84"/>
      <c r="C431" s="95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6.5" customHeight="1">
      <c r="A432" s="84"/>
      <c r="B432" s="84"/>
      <c r="C432" s="95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6.5" customHeight="1">
      <c r="A433" s="84"/>
      <c r="B433" s="84"/>
      <c r="C433" s="95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6.5" customHeight="1">
      <c r="A434" s="84"/>
      <c r="B434" s="84"/>
      <c r="C434" s="95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6.5" customHeight="1">
      <c r="A435" s="84"/>
      <c r="B435" s="84"/>
      <c r="C435" s="95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6.5" customHeight="1">
      <c r="A436" s="84"/>
      <c r="B436" s="84"/>
      <c r="C436" s="95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6.5" customHeight="1">
      <c r="A437" s="84"/>
      <c r="B437" s="84"/>
      <c r="C437" s="95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6.5" customHeight="1">
      <c r="A438" s="84"/>
      <c r="B438" s="84"/>
      <c r="C438" s="95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6.5" customHeight="1">
      <c r="A439" s="84"/>
      <c r="B439" s="84"/>
      <c r="C439" s="95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6.5" customHeight="1">
      <c r="A440" s="84"/>
      <c r="B440" s="84"/>
      <c r="C440" s="95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6.5" customHeight="1">
      <c r="A441" s="84"/>
      <c r="B441" s="84"/>
      <c r="C441" s="95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6.5" customHeight="1">
      <c r="A442" s="84"/>
      <c r="B442" s="84"/>
      <c r="C442" s="95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6.5" customHeight="1">
      <c r="A443" s="84"/>
      <c r="B443" s="84"/>
      <c r="C443" s="95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6.5" customHeight="1">
      <c r="A444" s="84"/>
      <c r="B444" s="84"/>
      <c r="C444" s="95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6.5" customHeight="1">
      <c r="A445" s="84"/>
      <c r="B445" s="84"/>
      <c r="C445" s="95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6.5" customHeight="1">
      <c r="A446" s="84"/>
      <c r="B446" s="84"/>
      <c r="C446" s="95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6.5" customHeight="1">
      <c r="A447" s="84"/>
      <c r="B447" s="84"/>
      <c r="C447" s="95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6.5" customHeight="1">
      <c r="A448" s="84"/>
      <c r="B448" s="84"/>
      <c r="C448" s="95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6.5" customHeight="1">
      <c r="A449" s="84"/>
      <c r="B449" s="84"/>
      <c r="C449" s="95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6.5" customHeight="1">
      <c r="A450" s="84"/>
      <c r="B450" s="84"/>
      <c r="C450" s="95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6.5" customHeight="1">
      <c r="A451" s="84"/>
      <c r="B451" s="84"/>
      <c r="C451" s="95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6.5" customHeight="1">
      <c r="A452" s="84"/>
      <c r="B452" s="84"/>
      <c r="C452" s="95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6.5" customHeight="1">
      <c r="A453" s="84"/>
      <c r="B453" s="84"/>
      <c r="C453" s="95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6.5" customHeight="1">
      <c r="A454" s="84"/>
      <c r="B454" s="84"/>
      <c r="C454" s="95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6.5" customHeight="1">
      <c r="A455" s="84"/>
      <c r="B455" s="84"/>
      <c r="C455" s="95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6.5" customHeight="1">
      <c r="A456" s="84"/>
      <c r="B456" s="84"/>
      <c r="C456" s="95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6.5" customHeight="1">
      <c r="A457" s="84"/>
      <c r="B457" s="84"/>
      <c r="C457" s="95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6.5" customHeight="1">
      <c r="A458" s="84"/>
      <c r="B458" s="84"/>
      <c r="C458" s="95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6.5" customHeight="1">
      <c r="A459" s="84"/>
      <c r="B459" s="84"/>
      <c r="C459" s="95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6.5" customHeight="1">
      <c r="A460" s="84"/>
      <c r="B460" s="84"/>
      <c r="C460" s="95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6.5" customHeight="1">
      <c r="A461" s="84"/>
      <c r="B461" s="84"/>
      <c r="C461" s="95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6.5" customHeight="1">
      <c r="A462" s="84"/>
      <c r="B462" s="84"/>
      <c r="C462" s="95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6.5" customHeight="1">
      <c r="A463" s="84"/>
      <c r="B463" s="84"/>
      <c r="C463" s="95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6.5" customHeight="1">
      <c r="A464" s="84"/>
      <c r="B464" s="84"/>
      <c r="C464" s="95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6.5" customHeight="1">
      <c r="A465" s="84"/>
      <c r="B465" s="84"/>
      <c r="C465" s="95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6.5" customHeight="1">
      <c r="A466" s="84"/>
      <c r="B466" s="84"/>
      <c r="C466" s="95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6.5" customHeight="1">
      <c r="A467" s="84"/>
      <c r="B467" s="84"/>
      <c r="C467" s="95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6.5" customHeight="1">
      <c r="A468" s="84"/>
      <c r="B468" s="84"/>
      <c r="C468" s="95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6.5" customHeight="1">
      <c r="A469" s="84"/>
      <c r="B469" s="84"/>
      <c r="C469" s="95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6.5" customHeight="1">
      <c r="A470" s="84"/>
      <c r="B470" s="84"/>
      <c r="C470" s="95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6.5" customHeight="1">
      <c r="A471" s="84"/>
      <c r="B471" s="84"/>
      <c r="C471" s="95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6.5" customHeight="1">
      <c r="A472" s="84"/>
      <c r="B472" s="84"/>
      <c r="C472" s="95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6.5" customHeight="1">
      <c r="A473" s="84"/>
      <c r="B473" s="84"/>
      <c r="C473" s="95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6.5" customHeight="1">
      <c r="A474" s="84"/>
      <c r="B474" s="84"/>
      <c r="C474" s="95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6.5" customHeight="1">
      <c r="A475" s="84"/>
      <c r="B475" s="84"/>
      <c r="C475" s="95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6.5" customHeight="1">
      <c r="A476" s="84"/>
      <c r="B476" s="84"/>
      <c r="C476" s="95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6.5" customHeight="1">
      <c r="A477" s="84"/>
      <c r="B477" s="84"/>
      <c r="C477" s="95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6.5" customHeight="1">
      <c r="A478" s="84"/>
      <c r="B478" s="84"/>
      <c r="C478" s="95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6.5" customHeight="1">
      <c r="A479" s="84"/>
      <c r="B479" s="84"/>
      <c r="C479" s="95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6.5" customHeight="1">
      <c r="A480" s="84"/>
      <c r="B480" s="84"/>
      <c r="C480" s="95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6.5" customHeight="1">
      <c r="A481" s="84"/>
      <c r="B481" s="84"/>
      <c r="C481" s="95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6.5" customHeight="1">
      <c r="A482" s="84"/>
      <c r="B482" s="84"/>
      <c r="C482" s="95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6.5" customHeight="1">
      <c r="A483" s="84"/>
      <c r="B483" s="84"/>
      <c r="C483" s="95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6.5" customHeight="1">
      <c r="A484" s="84"/>
      <c r="B484" s="84"/>
      <c r="C484" s="95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6.5" customHeight="1">
      <c r="A485" s="84"/>
      <c r="B485" s="84"/>
      <c r="C485" s="95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6.5" customHeight="1">
      <c r="A486" s="84"/>
      <c r="B486" s="84"/>
      <c r="C486" s="95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6.5" customHeight="1">
      <c r="A487" s="84"/>
      <c r="B487" s="84"/>
      <c r="C487" s="95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6.5" customHeight="1">
      <c r="A488" s="84"/>
      <c r="B488" s="84"/>
      <c r="C488" s="95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6.5" customHeight="1">
      <c r="A489" s="84"/>
      <c r="B489" s="84"/>
      <c r="C489" s="95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6.5" customHeight="1">
      <c r="A490" s="84"/>
      <c r="B490" s="84"/>
      <c r="C490" s="95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6.5" customHeight="1">
      <c r="A491" s="84"/>
      <c r="B491" s="84"/>
      <c r="C491" s="95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6.5" customHeight="1">
      <c r="A492" s="84"/>
      <c r="B492" s="84"/>
      <c r="C492" s="95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6.5" customHeight="1">
      <c r="A493" s="84"/>
      <c r="B493" s="84"/>
      <c r="C493" s="95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6.5" customHeight="1">
      <c r="A494" s="84"/>
      <c r="B494" s="84"/>
      <c r="C494" s="95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6.5" customHeight="1">
      <c r="A495" s="84"/>
      <c r="B495" s="84"/>
      <c r="C495" s="95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6.5" customHeight="1">
      <c r="A496" s="84"/>
      <c r="B496" s="84"/>
      <c r="C496" s="95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6.5" customHeight="1">
      <c r="A497" s="84"/>
      <c r="B497" s="84"/>
      <c r="C497" s="95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6.5" customHeight="1">
      <c r="A498" s="84"/>
      <c r="B498" s="84"/>
      <c r="C498" s="95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6.5" customHeight="1">
      <c r="A499" s="84"/>
      <c r="B499" s="84"/>
      <c r="C499" s="95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6.5" customHeight="1">
      <c r="A500" s="84"/>
      <c r="B500" s="84"/>
      <c r="C500" s="95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6.5" customHeight="1">
      <c r="A501" s="84"/>
      <c r="B501" s="84"/>
      <c r="C501" s="95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6.5" customHeight="1">
      <c r="A502" s="84"/>
      <c r="B502" s="84"/>
      <c r="C502" s="95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6.5" customHeight="1">
      <c r="A503" s="84"/>
      <c r="B503" s="84"/>
      <c r="C503" s="95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6.5" customHeight="1">
      <c r="A504" s="84"/>
      <c r="B504" s="84"/>
      <c r="C504" s="95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6.5" customHeight="1">
      <c r="A505" s="84"/>
      <c r="B505" s="84"/>
      <c r="C505" s="95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6.5" customHeight="1">
      <c r="A506" s="84"/>
      <c r="B506" s="84"/>
      <c r="C506" s="95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6.5" customHeight="1">
      <c r="A507" s="84"/>
      <c r="B507" s="84"/>
      <c r="C507" s="95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6.5" customHeight="1">
      <c r="A508" s="84"/>
      <c r="B508" s="84"/>
      <c r="C508" s="95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6.5" customHeight="1">
      <c r="A509" s="84"/>
      <c r="B509" s="84"/>
      <c r="C509" s="95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6.5" customHeight="1">
      <c r="A510" s="84"/>
      <c r="B510" s="84"/>
      <c r="C510" s="95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6.5" customHeight="1">
      <c r="A511" s="84"/>
      <c r="B511" s="84"/>
      <c r="C511" s="95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6.5" customHeight="1">
      <c r="A512" s="84"/>
      <c r="B512" s="84"/>
      <c r="C512" s="95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6.5" customHeight="1">
      <c r="A513" s="84"/>
      <c r="B513" s="84"/>
      <c r="C513" s="95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6.5" customHeight="1">
      <c r="A514" s="84"/>
      <c r="B514" s="84"/>
      <c r="C514" s="95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6.5" customHeight="1">
      <c r="A515" s="84"/>
      <c r="B515" s="84"/>
      <c r="C515" s="95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6.5" customHeight="1">
      <c r="A516" s="84"/>
      <c r="B516" s="84"/>
      <c r="C516" s="95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6.5" customHeight="1">
      <c r="A517" s="84"/>
      <c r="B517" s="84"/>
      <c r="C517" s="95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6.5" customHeight="1">
      <c r="A518" s="84"/>
      <c r="B518" s="84"/>
      <c r="C518" s="95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6.5" customHeight="1">
      <c r="A519" s="84"/>
      <c r="B519" s="84"/>
      <c r="C519" s="95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6.5" customHeight="1">
      <c r="A520" s="84"/>
      <c r="B520" s="84"/>
      <c r="C520" s="95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6.5" customHeight="1">
      <c r="A521" s="84"/>
      <c r="B521" s="84"/>
      <c r="C521" s="95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6.5" customHeight="1">
      <c r="A522" s="84"/>
      <c r="B522" s="84"/>
      <c r="C522" s="95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6.5" customHeight="1">
      <c r="A523" s="84"/>
      <c r="B523" s="84"/>
      <c r="C523" s="95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6.5" customHeight="1">
      <c r="A524" s="84"/>
      <c r="B524" s="84"/>
      <c r="C524" s="95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6.5" customHeight="1">
      <c r="A525" s="84"/>
      <c r="B525" s="84"/>
      <c r="C525" s="95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6.5" customHeight="1">
      <c r="A526" s="84"/>
      <c r="B526" s="84"/>
      <c r="C526" s="95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6.5" customHeight="1">
      <c r="A527" s="84"/>
      <c r="B527" s="84"/>
      <c r="C527" s="95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6.5" customHeight="1">
      <c r="A528" s="84"/>
      <c r="B528" s="84"/>
      <c r="C528" s="95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6.5" customHeight="1">
      <c r="A529" s="84"/>
      <c r="B529" s="84"/>
      <c r="C529" s="95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6.5" customHeight="1">
      <c r="A530" s="84"/>
      <c r="B530" s="84"/>
      <c r="C530" s="95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6.5" customHeight="1">
      <c r="A531" s="84"/>
      <c r="B531" s="84"/>
      <c r="C531" s="95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6.5" customHeight="1">
      <c r="A532" s="84"/>
      <c r="B532" s="84"/>
      <c r="C532" s="95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6.5" customHeight="1">
      <c r="A533" s="84"/>
      <c r="B533" s="84"/>
      <c r="C533" s="95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6.5" customHeight="1">
      <c r="A534" s="84"/>
      <c r="B534" s="84"/>
      <c r="C534" s="95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6.5" customHeight="1">
      <c r="A535" s="84"/>
      <c r="B535" s="84"/>
      <c r="C535" s="95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6.5" customHeight="1">
      <c r="A536" s="84"/>
      <c r="B536" s="84"/>
      <c r="C536" s="95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6.5" customHeight="1">
      <c r="A537" s="84"/>
      <c r="B537" s="84"/>
      <c r="C537" s="95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6.5" customHeight="1">
      <c r="A538" s="84"/>
      <c r="B538" s="84"/>
      <c r="C538" s="95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6.5" customHeight="1">
      <c r="A539" s="84"/>
      <c r="B539" s="84"/>
      <c r="C539" s="95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6.5" customHeight="1">
      <c r="A540" s="84"/>
      <c r="B540" s="84"/>
      <c r="C540" s="95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6.5" customHeight="1">
      <c r="A541" s="84"/>
      <c r="B541" s="84"/>
      <c r="C541" s="95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6.5" customHeight="1">
      <c r="A542" s="84"/>
      <c r="B542" s="84"/>
      <c r="C542" s="95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6.5" customHeight="1">
      <c r="A543" s="84"/>
      <c r="B543" s="84"/>
      <c r="C543" s="95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6.5" customHeight="1">
      <c r="A544" s="84"/>
      <c r="B544" s="84"/>
      <c r="C544" s="95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6.5" customHeight="1">
      <c r="A545" s="84"/>
      <c r="B545" s="84"/>
      <c r="C545" s="95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6.5" customHeight="1">
      <c r="A546" s="84"/>
      <c r="B546" s="84"/>
      <c r="C546" s="95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6.5" customHeight="1">
      <c r="A547" s="84"/>
      <c r="B547" s="84"/>
      <c r="C547" s="95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6.5" customHeight="1">
      <c r="A548" s="84"/>
      <c r="B548" s="84"/>
      <c r="C548" s="95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6.5" customHeight="1">
      <c r="A549" s="84"/>
      <c r="B549" s="84"/>
      <c r="C549" s="95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6.5" customHeight="1">
      <c r="A550" s="84"/>
      <c r="B550" s="84"/>
      <c r="C550" s="95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6.5" customHeight="1">
      <c r="A551" s="84"/>
      <c r="B551" s="84"/>
      <c r="C551" s="95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6.5" customHeight="1">
      <c r="A552" s="84"/>
      <c r="B552" s="84"/>
      <c r="C552" s="95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6.5" customHeight="1">
      <c r="A553" s="84"/>
      <c r="B553" s="84"/>
      <c r="C553" s="95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6.5" customHeight="1">
      <c r="A554" s="84"/>
      <c r="B554" s="84"/>
      <c r="C554" s="95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6.5" customHeight="1">
      <c r="A555" s="84"/>
      <c r="B555" s="84"/>
      <c r="C555" s="95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6.5" customHeight="1">
      <c r="A556" s="84"/>
      <c r="B556" s="84"/>
      <c r="C556" s="95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6.5" customHeight="1">
      <c r="A557" s="84"/>
      <c r="B557" s="84"/>
      <c r="C557" s="95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6.5" customHeight="1">
      <c r="A558" s="84"/>
      <c r="B558" s="84"/>
      <c r="C558" s="95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6.5" customHeight="1">
      <c r="A559" s="84"/>
      <c r="B559" s="84"/>
      <c r="C559" s="95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6.5" customHeight="1">
      <c r="A560" s="84"/>
      <c r="B560" s="84"/>
      <c r="C560" s="95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6.5" customHeight="1">
      <c r="A561" s="84"/>
      <c r="B561" s="84"/>
      <c r="C561" s="95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6.5" customHeight="1">
      <c r="A562" s="84"/>
      <c r="B562" s="84"/>
      <c r="C562" s="95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6.5" customHeight="1">
      <c r="A563" s="84"/>
      <c r="B563" s="84"/>
      <c r="C563" s="95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6.5" customHeight="1">
      <c r="A564" s="84"/>
      <c r="B564" s="84"/>
      <c r="C564" s="95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6.5" customHeight="1">
      <c r="A565" s="84"/>
      <c r="B565" s="84"/>
      <c r="C565" s="95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6.5" customHeight="1">
      <c r="A566" s="84"/>
      <c r="B566" s="84"/>
      <c r="C566" s="95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6.5" customHeight="1">
      <c r="A567" s="84"/>
      <c r="B567" s="84"/>
      <c r="C567" s="95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6.5" customHeight="1">
      <c r="A568" s="84"/>
      <c r="B568" s="84"/>
      <c r="C568" s="95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6.5" customHeight="1">
      <c r="A569" s="84"/>
      <c r="B569" s="84"/>
      <c r="C569" s="95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6.5" customHeight="1">
      <c r="A570" s="84"/>
      <c r="B570" s="84"/>
      <c r="C570" s="95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6.5" customHeight="1">
      <c r="A571" s="84"/>
      <c r="B571" s="84"/>
      <c r="C571" s="95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6.5" customHeight="1">
      <c r="A572" s="84"/>
      <c r="B572" s="84"/>
      <c r="C572" s="95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6.5" customHeight="1">
      <c r="A573" s="84"/>
      <c r="B573" s="84"/>
      <c r="C573" s="95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6.5" customHeight="1">
      <c r="A574" s="84"/>
      <c r="B574" s="84"/>
      <c r="C574" s="95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6.5" customHeight="1">
      <c r="A575" s="84"/>
      <c r="B575" s="84"/>
      <c r="C575" s="95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6.5" customHeight="1">
      <c r="A576" s="84"/>
      <c r="B576" s="84"/>
      <c r="C576" s="95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6.5" customHeight="1">
      <c r="A577" s="84"/>
      <c r="B577" s="84"/>
      <c r="C577" s="95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6.5" customHeight="1">
      <c r="A578" s="84"/>
      <c r="B578" s="84"/>
      <c r="C578" s="95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6.5" customHeight="1">
      <c r="A579" s="84"/>
      <c r="B579" s="84"/>
      <c r="C579" s="95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6.5" customHeight="1">
      <c r="A580" s="84"/>
      <c r="B580" s="84"/>
      <c r="C580" s="95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6.5" customHeight="1">
      <c r="A581" s="84"/>
      <c r="B581" s="84"/>
      <c r="C581" s="95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6.5" customHeight="1">
      <c r="A582" s="84"/>
      <c r="B582" s="84"/>
      <c r="C582" s="95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6.5" customHeight="1">
      <c r="A583" s="84"/>
      <c r="B583" s="84"/>
      <c r="C583" s="95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6.5" customHeight="1">
      <c r="A584" s="84"/>
      <c r="B584" s="84"/>
      <c r="C584" s="95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6.5" customHeight="1">
      <c r="A585" s="84"/>
      <c r="B585" s="84"/>
      <c r="C585" s="95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6.5" customHeight="1">
      <c r="A586" s="84"/>
      <c r="B586" s="84"/>
      <c r="C586" s="95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6.5" customHeight="1">
      <c r="A587" s="84"/>
      <c r="B587" s="84"/>
      <c r="C587" s="95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6.5" customHeight="1">
      <c r="A588" s="84"/>
      <c r="B588" s="84"/>
      <c r="C588" s="95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6.5" customHeight="1">
      <c r="A589" s="84"/>
      <c r="B589" s="84"/>
      <c r="C589" s="95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6.5" customHeight="1">
      <c r="A590" s="84"/>
      <c r="B590" s="84"/>
      <c r="C590" s="95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6.5" customHeight="1">
      <c r="A591" s="84"/>
      <c r="B591" s="84"/>
      <c r="C591" s="95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6.5" customHeight="1">
      <c r="A592" s="84"/>
      <c r="B592" s="84"/>
      <c r="C592" s="95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6.5" customHeight="1">
      <c r="A593" s="84"/>
      <c r="B593" s="84"/>
      <c r="C593" s="95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6.5" customHeight="1">
      <c r="A594" s="84"/>
      <c r="B594" s="84"/>
      <c r="C594" s="95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6.5" customHeight="1">
      <c r="A595" s="84"/>
      <c r="B595" s="84"/>
      <c r="C595" s="95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6.5" customHeight="1">
      <c r="A596" s="84"/>
      <c r="B596" s="84"/>
      <c r="C596" s="95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6.5" customHeight="1">
      <c r="A597" s="84"/>
      <c r="B597" s="84"/>
      <c r="C597" s="95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6.5" customHeight="1">
      <c r="A598" s="84"/>
      <c r="B598" s="84"/>
      <c r="C598" s="95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6.5" customHeight="1">
      <c r="A599" s="84"/>
      <c r="B599" s="84"/>
      <c r="C599" s="95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6.5" customHeight="1">
      <c r="A600" s="84"/>
      <c r="B600" s="84"/>
      <c r="C600" s="95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6.5" customHeight="1">
      <c r="A601" s="84"/>
      <c r="B601" s="84"/>
      <c r="C601" s="95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6.5" customHeight="1">
      <c r="A602" s="84"/>
      <c r="B602" s="84"/>
      <c r="C602" s="95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6.5" customHeight="1">
      <c r="A603" s="84"/>
      <c r="B603" s="84"/>
      <c r="C603" s="95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6.5" customHeight="1">
      <c r="A604" s="84"/>
      <c r="B604" s="84"/>
      <c r="C604" s="95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6.5" customHeight="1">
      <c r="A605" s="84"/>
      <c r="B605" s="84"/>
      <c r="C605" s="95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6.5" customHeight="1">
      <c r="A606" s="84"/>
      <c r="B606" s="84"/>
      <c r="C606" s="95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6.5" customHeight="1">
      <c r="A607" s="84"/>
      <c r="B607" s="84"/>
      <c r="C607" s="95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6.5" customHeight="1">
      <c r="A608" s="84"/>
      <c r="B608" s="84"/>
      <c r="C608" s="95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6.5" customHeight="1">
      <c r="A609" s="84"/>
      <c r="B609" s="84"/>
      <c r="C609" s="95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6.5" customHeight="1">
      <c r="A610" s="84"/>
      <c r="B610" s="84"/>
      <c r="C610" s="95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6.5" customHeight="1">
      <c r="A611" s="84"/>
      <c r="B611" s="84"/>
      <c r="C611" s="95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6.5" customHeight="1">
      <c r="A612" s="84"/>
      <c r="B612" s="84"/>
      <c r="C612" s="95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6.5" customHeight="1">
      <c r="A613" s="84"/>
      <c r="B613" s="84"/>
      <c r="C613" s="95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6.5" customHeight="1">
      <c r="A614" s="84"/>
      <c r="B614" s="84"/>
      <c r="C614" s="95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6.5" customHeight="1">
      <c r="A615" s="84"/>
      <c r="B615" s="84"/>
      <c r="C615" s="95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6.5" customHeight="1">
      <c r="A616" s="84"/>
      <c r="B616" s="84"/>
      <c r="C616" s="95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6.5" customHeight="1">
      <c r="A617" s="84"/>
      <c r="B617" s="84"/>
      <c r="C617" s="95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6.5" customHeight="1">
      <c r="A618" s="84"/>
      <c r="B618" s="84"/>
      <c r="C618" s="95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6.5" customHeight="1">
      <c r="A619" s="84"/>
      <c r="B619" s="84"/>
      <c r="C619" s="95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6.5" customHeight="1">
      <c r="A620" s="84"/>
      <c r="B620" s="84"/>
      <c r="C620" s="95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6.5" customHeight="1">
      <c r="A621" s="84"/>
      <c r="B621" s="84"/>
      <c r="C621" s="95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6.5" customHeight="1">
      <c r="A622" s="84"/>
      <c r="B622" s="84"/>
      <c r="C622" s="95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6.5" customHeight="1">
      <c r="A623" s="84"/>
      <c r="B623" s="84"/>
      <c r="C623" s="95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6.5" customHeight="1">
      <c r="A624" s="84"/>
      <c r="B624" s="84"/>
      <c r="C624" s="95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6.5" customHeight="1">
      <c r="A625" s="84"/>
      <c r="B625" s="84"/>
      <c r="C625" s="95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6.5" customHeight="1">
      <c r="A626" s="84"/>
      <c r="B626" s="84"/>
      <c r="C626" s="95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6.5" customHeight="1">
      <c r="A627" s="84"/>
      <c r="B627" s="84"/>
      <c r="C627" s="95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6.5" customHeight="1">
      <c r="A628" s="84"/>
      <c r="B628" s="84"/>
      <c r="C628" s="95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6.5" customHeight="1">
      <c r="A629" s="84"/>
      <c r="B629" s="84"/>
      <c r="C629" s="95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6.5" customHeight="1">
      <c r="A630" s="84"/>
      <c r="B630" s="84"/>
      <c r="C630" s="95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6.5" customHeight="1">
      <c r="A631" s="84"/>
      <c r="B631" s="84"/>
      <c r="C631" s="95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6.5" customHeight="1">
      <c r="A632" s="84"/>
      <c r="B632" s="84"/>
      <c r="C632" s="95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6.5" customHeight="1">
      <c r="A633" s="84"/>
      <c r="B633" s="84"/>
      <c r="C633" s="95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6.5" customHeight="1">
      <c r="A634" s="84"/>
      <c r="B634" s="84"/>
      <c r="C634" s="95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6.5" customHeight="1">
      <c r="A635" s="84"/>
      <c r="B635" s="84"/>
      <c r="C635" s="95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6.5" customHeight="1">
      <c r="A636" s="84"/>
      <c r="B636" s="84"/>
      <c r="C636" s="95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6.5" customHeight="1">
      <c r="A637" s="84"/>
      <c r="B637" s="84"/>
      <c r="C637" s="95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6.5" customHeight="1">
      <c r="A638" s="84"/>
      <c r="B638" s="84"/>
      <c r="C638" s="95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6.5" customHeight="1">
      <c r="A639" s="84"/>
      <c r="B639" s="84"/>
      <c r="C639" s="95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6.5" customHeight="1">
      <c r="A640" s="84"/>
      <c r="B640" s="84"/>
      <c r="C640" s="95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6.5" customHeight="1">
      <c r="A641" s="84"/>
      <c r="B641" s="84"/>
      <c r="C641" s="95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6.5" customHeight="1">
      <c r="A642" s="84"/>
      <c r="B642" s="84"/>
      <c r="C642" s="95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6.5" customHeight="1">
      <c r="A643" s="84"/>
      <c r="B643" s="84"/>
      <c r="C643" s="95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6.5" customHeight="1">
      <c r="A644" s="84"/>
      <c r="B644" s="84"/>
      <c r="C644" s="95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6.5" customHeight="1">
      <c r="A645" s="84"/>
      <c r="B645" s="84"/>
      <c r="C645" s="95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6.5" customHeight="1">
      <c r="A646" s="84"/>
      <c r="B646" s="84"/>
      <c r="C646" s="95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6.5" customHeight="1">
      <c r="A647" s="84"/>
      <c r="B647" s="84"/>
      <c r="C647" s="95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6.5" customHeight="1">
      <c r="A648" s="84"/>
      <c r="B648" s="84"/>
      <c r="C648" s="95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6.5" customHeight="1">
      <c r="A649" s="84"/>
      <c r="B649" s="84"/>
      <c r="C649" s="95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6.5" customHeight="1">
      <c r="A650" s="84"/>
      <c r="B650" s="84"/>
      <c r="C650" s="95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6.5" customHeight="1">
      <c r="A651" s="84"/>
      <c r="B651" s="84"/>
      <c r="C651" s="95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6.5" customHeight="1">
      <c r="A652" s="84"/>
      <c r="B652" s="84"/>
      <c r="C652" s="95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6.5" customHeight="1">
      <c r="A653" s="84"/>
      <c r="B653" s="84"/>
      <c r="C653" s="95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6.5" customHeight="1">
      <c r="A654" s="84"/>
      <c r="B654" s="84"/>
      <c r="C654" s="95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6.5" customHeight="1">
      <c r="A655" s="84"/>
      <c r="B655" s="84"/>
      <c r="C655" s="95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6.5" customHeight="1">
      <c r="A656" s="84"/>
      <c r="B656" s="84"/>
      <c r="C656" s="95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6.5" customHeight="1">
      <c r="A657" s="84"/>
      <c r="B657" s="84"/>
      <c r="C657" s="95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6.5" customHeight="1">
      <c r="A658" s="84"/>
      <c r="B658" s="84"/>
      <c r="C658" s="95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6.5" customHeight="1">
      <c r="A659" s="84"/>
      <c r="B659" s="84"/>
      <c r="C659" s="95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6.5" customHeight="1">
      <c r="A660" s="84"/>
      <c r="B660" s="84"/>
      <c r="C660" s="95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6.5" customHeight="1">
      <c r="A661" s="84"/>
      <c r="B661" s="84"/>
      <c r="C661" s="95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6.5" customHeight="1">
      <c r="A662" s="84"/>
      <c r="B662" s="84"/>
      <c r="C662" s="95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6.5" customHeight="1">
      <c r="A663" s="84"/>
      <c r="B663" s="84"/>
      <c r="C663" s="95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6.5" customHeight="1">
      <c r="A664" s="84"/>
      <c r="B664" s="84"/>
      <c r="C664" s="95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6.5" customHeight="1">
      <c r="A665" s="84"/>
      <c r="B665" s="84"/>
      <c r="C665" s="95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6.5" customHeight="1">
      <c r="A666" s="84"/>
      <c r="B666" s="84"/>
      <c r="C666" s="95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6.5" customHeight="1">
      <c r="A667" s="84"/>
      <c r="B667" s="84"/>
      <c r="C667" s="95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6.5" customHeight="1">
      <c r="A668" s="84"/>
      <c r="B668" s="84"/>
      <c r="C668" s="95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6.5" customHeight="1">
      <c r="A669" s="84"/>
      <c r="B669" s="84"/>
      <c r="C669" s="95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6.5" customHeight="1">
      <c r="A670" s="84"/>
      <c r="B670" s="84"/>
      <c r="C670" s="95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6.5" customHeight="1">
      <c r="A671" s="84"/>
      <c r="B671" s="84"/>
      <c r="C671" s="95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6.5" customHeight="1">
      <c r="A672" s="84"/>
      <c r="B672" s="84"/>
      <c r="C672" s="95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6.5" customHeight="1">
      <c r="A673" s="84"/>
      <c r="B673" s="84"/>
      <c r="C673" s="95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6.5" customHeight="1">
      <c r="A674" s="84"/>
      <c r="B674" s="84"/>
      <c r="C674" s="95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6.5" customHeight="1">
      <c r="A675" s="84"/>
      <c r="B675" s="84"/>
      <c r="C675" s="95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6.5" customHeight="1">
      <c r="A676" s="84"/>
      <c r="B676" s="84"/>
      <c r="C676" s="95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6.5" customHeight="1">
      <c r="A677" s="84"/>
      <c r="B677" s="84"/>
      <c r="C677" s="95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6.5" customHeight="1">
      <c r="A678" s="84"/>
      <c r="B678" s="84"/>
      <c r="C678" s="95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6.5" customHeight="1">
      <c r="A679" s="84"/>
      <c r="B679" s="84"/>
      <c r="C679" s="95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6.5" customHeight="1">
      <c r="A680" s="84"/>
      <c r="B680" s="84"/>
      <c r="C680" s="95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6.5" customHeight="1">
      <c r="A681" s="84"/>
      <c r="B681" s="84"/>
      <c r="C681" s="95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6.5" customHeight="1">
      <c r="A682" s="84"/>
      <c r="B682" s="84"/>
      <c r="C682" s="95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6.5" customHeight="1">
      <c r="A683" s="84"/>
      <c r="B683" s="84"/>
      <c r="C683" s="95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6.5" customHeight="1">
      <c r="A684" s="84"/>
      <c r="B684" s="84"/>
      <c r="C684" s="95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6.5" customHeight="1">
      <c r="A685" s="84"/>
      <c r="B685" s="84"/>
      <c r="C685" s="95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6.5" customHeight="1">
      <c r="A686" s="84"/>
      <c r="B686" s="84"/>
      <c r="C686" s="95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6.5" customHeight="1">
      <c r="A687" s="84"/>
      <c r="B687" s="84"/>
      <c r="C687" s="95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6.5" customHeight="1">
      <c r="A688" s="84"/>
      <c r="B688" s="84"/>
      <c r="C688" s="95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6.5" customHeight="1">
      <c r="A689" s="84"/>
      <c r="B689" s="84"/>
      <c r="C689" s="95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6.5" customHeight="1">
      <c r="A690" s="84"/>
      <c r="B690" s="84"/>
      <c r="C690" s="95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6.5" customHeight="1">
      <c r="A691" s="84"/>
      <c r="B691" s="84"/>
      <c r="C691" s="95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6.5" customHeight="1">
      <c r="A692" s="84"/>
      <c r="B692" s="84"/>
      <c r="C692" s="95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6.5" customHeight="1">
      <c r="A693" s="84"/>
      <c r="B693" s="84"/>
      <c r="C693" s="95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6.5" customHeight="1">
      <c r="A694" s="84"/>
      <c r="B694" s="84"/>
      <c r="C694" s="95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6.5" customHeight="1">
      <c r="A695" s="84"/>
      <c r="B695" s="84"/>
      <c r="C695" s="95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6.5" customHeight="1">
      <c r="A696" s="84"/>
      <c r="B696" s="84"/>
      <c r="C696" s="95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6.5" customHeight="1">
      <c r="A697" s="84"/>
      <c r="B697" s="84"/>
      <c r="C697" s="95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6.5" customHeight="1">
      <c r="A698" s="84"/>
      <c r="B698" s="84"/>
      <c r="C698" s="95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6.5" customHeight="1">
      <c r="A699" s="84"/>
      <c r="B699" s="84"/>
      <c r="C699" s="95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6.5" customHeight="1">
      <c r="A700" s="84"/>
      <c r="B700" s="84"/>
      <c r="C700" s="95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6.5" customHeight="1">
      <c r="A701" s="84"/>
      <c r="B701" s="84"/>
      <c r="C701" s="95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6.5" customHeight="1">
      <c r="A702" s="84"/>
      <c r="B702" s="84"/>
      <c r="C702" s="95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6.5" customHeight="1">
      <c r="A703" s="84"/>
      <c r="B703" s="84"/>
      <c r="C703" s="95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6.5" customHeight="1">
      <c r="A704" s="84"/>
      <c r="B704" s="84"/>
      <c r="C704" s="95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6.5" customHeight="1">
      <c r="A705" s="84"/>
      <c r="B705" s="84"/>
      <c r="C705" s="95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6.5" customHeight="1">
      <c r="A706" s="84"/>
      <c r="B706" s="84"/>
      <c r="C706" s="95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6.5" customHeight="1">
      <c r="A707" s="84"/>
      <c r="B707" s="84"/>
      <c r="C707" s="95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6.5" customHeight="1">
      <c r="A708" s="84"/>
      <c r="B708" s="84"/>
      <c r="C708" s="95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6.5" customHeight="1">
      <c r="A709" s="84"/>
      <c r="B709" s="84"/>
      <c r="C709" s="95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6.5" customHeight="1">
      <c r="A710" s="84"/>
      <c r="B710" s="84"/>
      <c r="C710" s="95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6.5" customHeight="1">
      <c r="A711" s="84"/>
      <c r="B711" s="84"/>
      <c r="C711" s="95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6.5" customHeight="1">
      <c r="A712" s="84"/>
      <c r="B712" s="84"/>
      <c r="C712" s="95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6.5" customHeight="1">
      <c r="A713" s="84"/>
      <c r="B713" s="84"/>
      <c r="C713" s="95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6.5" customHeight="1">
      <c r="A714" s="84"/>
      <c r="B714" s="84"/>
      <c r="C714" s="95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6.5" customHeight="1">
      <c r="A715" s="84"/>
      <c r="B715" s="84"/>
      <c r="C715" s="95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6.5" customHeight="1">
      <c r="A716" s="84"/>
      <c r="B716" s="84"/>
      <c r="C716" s="95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6.5" customHeight="1">
      <c r="A717" s="84"/>
      <c r="B717" s="84"/>
      <c r="C717" s="95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6.5" customHeight="1">
      <c r="A718" s="84"/>
      <c r="B718" s="84"/>
      <c r="C718" s="95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6.5" customHeight="1">
      <c r="A719" s="84"/>
      <c r="B719" s="84"/>
      <c r="C719" s="95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6.5" customHeight="1">
      <c r="A720" s="84"/>
      <c r="B720" s="84"/>
      <c r="C720" s="95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6.5" customHeight="1">
      <c r="A721" s="84"/>
      <c r="B721" s="84"/>
      <c r="C721" s="95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6.5" customHeight="1">
      <c r="A722" s="84"/>
      <c r="B722" s="84"/>
      <c r="C722" s="95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6.5" customHeight="1">
      <c r="A723" s="84"/>
      <c r="B723" s="84"/>
      <c r="C723" s="95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6.5" customHeight="1">
      <c r="A724" s="84"/>
      <c r="B724" s="84"/>
      <c r="C724" s="95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6.5" customHeight="1">
      <c r="A725" s="84"/>
      <c r="B725" s="84"/>
      <c r="C725" s="95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6.5" customHeight="1">
      <c r="A726" s="84"/>
      <c r="B726" s="84"/>
      <c r="C726" s="95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6.5" customHeight="1">
      <c r="A727" s="84"/>
      <c r="B727" s="84"/>
      <c r="C727" s="95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6.5" customHeight="1">
      <c r="A728" s="84"/>
      <c r="B728" s="84"/>
      <c r="C728" s="95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6.5" customHeight="1">
      <c r="A729" s="84"/>
      <c r="B729" s="84"/>
      <c r="C729" s="95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6.5" customHeight="1">
      <c r="A730" s="84"/>
      <c r="B730" s="84"/>
      <c r="C730" s="95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6.5" customHeight="1">
      <c r="A731" s="84"/>
      <c r="B731" s="84"/>
      <c r="C731" s="95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6.5" customHeight="1">
      <c r="A732" s="84"/>
      <c r="B732" s="84"/>
      <c r="C732" s="95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6.5" customHeight="1">
      <c r="A733" s="84"/>
      <c r="B733" s="84"/>
      <c r="C733" s="95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6.5" customHeight="1">
      <c r="A734" s="84"/>
      <c r="B734" s="84"/>
      <c r="C734" s="95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6.5" customHeight="1">
      <c r="A735" s="84"/>
      <c r="B735" s="84"/>
      <c r="C735" s="95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6.5" customHeight="1">
      <c r="A736" s="84"/>
      <c r="B736" s="84"/>
      <c r="C736" s="95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6.5" customHeight="1">
      <c r="A737" s="84"/>
      <c r="B737" s="84"/>
      <c r="C737" s="95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6.5" customHeight="1">
      <c r="A738" s="84"/>
      <c r="B738" s="84"/>
      <c r="C738" s="95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6.5" customHeight="1">
      <c r="A739" s="84"/>
      <c r="B739" s="84"/>
      <c r="C739" s="95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6.5" customHeight="1">
      <c r="A740" s="84"/>
      <c r="B740" s="84"/>
      <c r="C740" s="95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6.5" customHeight="1">
      <c r="A741" s="84"/>
      <c r="B741" s="84"/>
      <c r="C741" s="95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6.5" customHeight="1">
      <c r="A742" s="84"/>
      <c r="B742" s="84"/>
      <c r="C742" s="95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6.5" customHeight="1">
      <c r="A743" s="84"/>
      <c r="B743" s="84"/>
      <c r="C743" s="95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6.5" customHeight="1">
      <c r="A744" s="84"/>
      <c r="B744" s="84"/>
      <c r="C744" s="95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6.5" customHeight="1">
      <c r="A745" s="84"/>
      <c r="B745" s="84"/>
      <c r="C745" s="95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6.5" customHeight="1">
      <c r="A746" s="84"/>
      <c r="B746" s="84"/>
      <c r="C746" s="95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6.5" customHeight="1">
      <c r="A747" s="84"/>
      <c r="B747" s="84"/>
      <c r="C747" s="95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6.5" customHeight="1">
      <c r="A748" s="84"/>
      <c r="B748" s="84"/>
      <c r="C748" s="95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6.5" customHeight="1">
      <c r="A749" s="84"/>
      <c r="B749" s="84"/>
      <c r="C749" s="95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6.5" customHeight="1">
      <c r="A750" s="84"/>
      <c r="B750" s="84"/>
      <c r="C750" s="95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6.5" customHeight="1">
      <c r="A751" s="84"/>
      <c r="B751" s="84"/>
      <c r="C751" s="95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6.5" customHeight="1">
      <c r="A752" s="84"/>
      <c r="B752" s="84"/>
      <c r="C752" s="95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6.5" customHeight="1">
      <c r="A753" s="84"/>
      <c r="B753" s="84"/>
      <c r="C753" s="95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6.5" customHeight="1">
      <c r="A754" s="84"/>
      <c r="B754" s="84"/>
      <c r="C754" s="95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6.5" customHeight="1">
      <c r="A755" s="84"/>
      <c r="B755" s="84"/>
      <c r="C755" s="95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6.5" customHeight="1">
      <c r="A756" s="84"/>
      <c r="B756" s="84"/>
      <c r="C756" s="95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6.5" customHeight="1">
      <c r="A757" s="84"/>
      <c r="B757" s="84"/>
      <c r="C757" s="95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6.5" customHeight="1">
      <c r="A758" s="84"/>
      <c r="B758" s="84"/>
      <c r="C758" s="95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6.5" customHeight="1">
      <c r="A759" s="84"/>
      <c r="B759" s="84"/>
      <c r="C759" s="95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6.5" customHeight="1">
      <c r="A760" s="84"/>
      <c r="B760" s="84"/>
      <c r="C760" s="95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6.5" customHeight="1">
      <c r="A761" s="84"/>
      <c r="B761" s="84"/>
      <c r="C761" s="95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6.5" customHeight="1">
      <c r="A762" s="84"/>
      <c r="B762" s="84"/>
      <c r="C762" s="95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6.5" customHeight="1">
      <c r="A763" s="84"/>
      <c r="B763" s="84"/>
      <c r="C763" s="95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6.5" customHeight="1">
      <c r="A764" s="84"/>
      <c r="B764" s="84"/>
      <c r="C764" s="95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6.5" customHeight="1">
      <c r="A765" s="84"/>
      <c r="B765" s="84"/>
      <c r="C765" s="95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6.5" customHeight="1">
      <c r="A766" s="84"/>
      <c r="B766" s="84"/>
      <c r="C766" s="95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6.5" customHeight="1">
      <c r="A767" s="84"/>
      <c r="B767" s="84"/>
      <c r="C767" s="95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6.5" customHeight="1">
      <c r="A768" s="84"/>
      <c r="B768" s="84"/>
      <c r="C768" s="95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6.5" customHeight="1">
      <c r="A769" s="84"/>
      <c r="B769" s="84"/>
      <c r="C769" s="95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6.5" customHeight="1">
      <c r="A770" s="84"/>
      <c r="B770" s="84"/>
      <c r="C770" s="95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6.5" customHeight="1">
      <c r="A771" s="84"/>
      <c r="B771" s="84"/>
      <c r="C771" s="95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6.5" customHeight="1">
      <c r="A772" s="84"/>
      <c r="B772" s="84"/>
      <c r="C772" s="95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6.5" customHeight="1">
      <c r="A773" s="84"/>
      <c r="B773" s="84"/>
      <c r="C773" s="95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6.5" customHeight="1">
      <c r="A774" s="84"/>
      <c r="B774" s="84"/>
      <c r="C774" s="95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6.5" customHeight="1">
      <c r="A775" s="84"/>
      <c r="B775" s="84"/>
      <c r="C775" s="95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6.5" customHeight="1">
      <c r="A776" s="84"/>
      <c r="B776" s="84"/>
      <c r="C776" s="95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6.5" customHeight="1">
      <c r="A777" s="84"/>
      <c r="B777" s="84"/>
      <c r="C777" s="95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6.5" customHeight="1">
      <c r="A778" s="84"/>
      <c r="B778" s="84"/>
      <c r="C778" s="95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6.5" customHeight="1">
      <c r="A779" s="84"/>
      <c r="B779" s="84"/>
      <c r="C779" s="95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6.5" customHeight="1">
      <c r="A780" s="84"/>
      <c r="B780" s="84"/>
      <c r="C780" s="95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6.5" customHeight="1">
      <c r="A781" s="84"/>
      <c r="B781" s="84"/>
      <c r="C781" s="95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6.5" customHeight="1">
      <c r="A782" s="84"/>
      <c r="B782" s="84"/>
      <c r="C782" s="95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6.5" customHeight="1">
      <c r="A783" s="84"/>
      <c r="B783" s="84"/>
      <c r="C783" s="95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6.5" customHeight="1">
      <c r="A784" s="84"/>
      <c r="B784" s="84"/>
      <c r="C784" s="95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6.5" customHeight="1">
      <c r="A785" s="84"/>
      <c r="B785" s="84"/>
      <c r="C785" s="95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6.5" customHeight="1">
      <c r="A786" s="84"/>
      <c r="B786" s="84"/>
      <c r="C786" s="95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6.5" customHeight="1">
      <c r="A787" s="84"/>
      <c r="B787" s="84"/>
      <c r="C787" s="95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6.5" customHeight="1">
      <c r="A788" s="84"/>
      <c r="B788" s="84"/>
      <c r="C788" s="95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6.5" customHeight="1">
      <c r="A789" s="84"/>
      <c r="B789" s="84"/>
      <c r="C789" s="95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6.5" customHeight="1">
      <c r="A790" s="84"/>
      <c r="B790" s="84"/>
      <c r="C790" s="95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6.5" customHeight="1">
      <c r="A791" s="84"/>
      <c r="B791" s="84"/>
      <c r="C791" s="95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6.5" customHeight="1">
      <c r="A792" s="84"/>
      <c r="B792" s="84"/>
      <c r="C792" s="95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6.5" customHeight="1">
      <c r="A793" s="84"/>
      <c r="B793" s="84"/>
      <c r="C793" s="95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6.5" customHeight="1">
      <c r="A794" s="84"/>
      <c r="B794" s="84"/>
      <c r="C794" s="95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6.5" customHeight="1">
      <c r="A795" s="84"/>
      <c r="B795" s="84"/>
      <c r="C795" s="95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6.5" customHeight="1">
      <c r="A796" s="84"/>
      <c r="B796" s="84"/>
      <c r="C796" s="95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6.5" customHeight="1">
      <c r="A797" s="84"/>
      <c r="B797" s="84"/>
      <c r="C797" s="95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6.5" customHeight="1">
      <c r="A798" s="84"/>
      <c r="B798" s="84"/>
      <c r="C798" s="95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6.5" customHeight="1">
      <c r="A799" s="84"/>
      <c r="B799" s="84"/>
      <c r="C799" s="95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6.5" customHeight="1">
      <c r="A800" s="84"/>
      <c r="B800" s="84"/>
      <c r="C800" s="95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6.5" customHeight="1">
      <c r="A801" s="84"/>
      <c r="B801" s="84"/>
      <c r="C801" s="95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6.5" customHeight="1">
      <c r="A802" s="84"/>
      <c r="B802" s="84"/>
      <c r="C802" s="95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6.5" customHeight="1">
      <c r="A803" s="84"/>
      <c r="B803" s="84"/>
      <c r="C803" s="95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6.5" customHeight="1">
      <c r="A804" s="84"/>
      <c r="B804" s="84"/>
      <c r="C804" s="95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6.5" customHeight="1">
      <c r="A805" s="84"/>
      <c r="B805" s="84"/>
      <c r="C805" s="95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6.5" customHeight="1">
      <c r="A806" s="84"/>
      <c r="B806" s="84"/>
      <c r="C806" s="95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6.5" customHeight="1">
      <c r="A807" s="84"/>
      <c r="B807" s="84"/>
      <c r="C807" s="95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6.5" customHeight="1">
      <c r="A808" s="84"/>
      <c r="B808" s="84"/>
      <c r="C808" s="95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6.5" customHeight="1">
      <c r="A809" s="84"/>
      <c r="B809" s="84"/>
      <c r="C809" s="95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6.5" customHeight="1">
      <c r="A810" s="84"/>
      <c r="B810" s="84"/>
      <c r="C810" s="95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6.5" customHeight="1">
      <c r="A811" s="84"/>
      <c r="B811" s="84"/>
      <c r="C811" s="95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6.5" customHeight="1">
      <c r="A812" s="84"/>
      <c r="B812" s="84"/>
      <c r="C812" s="95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6.5" customHeight="1">
      <c r="A813" s="84"/>
      <c r="B813" s="84"/>
      <c r="C813" s="95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6.5" customHeight="1">
      <c r="A814" s="84"/>
      <c r="B814" s="84"/>
      <c r="C814" s="95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6.5" customHeight="1">
      <c r="A815" s="84"/>
      <c r="B815" s="84"/>
      <c r="C815" s="95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6.5" customHeight="1">
      <c r="A816" s="84"/>
      <c r="B816" s="84"/>
      <c r="C816" s="95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6.5" customHeight="1">
      <c r="A817" s="84"/>
      <c r="B817" s="84"/>
      <c r="C817" s="95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6.5" customHeight="1">
      <c r="A818" s="84"/>
      <c r="B818" s="84"/>
      <c r="C818" s="95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6.5" customHeight="1">
      <c r="A819" s="84"/>
      <c r="B819" s="84"/>
      <c r="C819" s="95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6.5" customHeight="1">
      <c r="A820" s="84"/>
      <c r="B820" s="84"/>
      <c r="C820" s="95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6.5" customHeight="1">
      <c r="A821" s="84"/>
      <c r="B821" s="84"/>
      <c r="C821" s="95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6.5" customHeight="1">
      <c r="A822" s="84"/>
      <c r="B822" s="84"/>
      <c r="C822" s="95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6.5" customHeight="1">
      <c r="A823" s="84"/>
      <c r="B823" s="84"/>
      <c r="C823" s="95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6.5" customHeight="1">
      <c r="A824" s="84"/>
      <c r="B824" s="84"/>
      <c r="C824" s="95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6.5" customHeight="1">
      <c r="A825" s="84"/>
      <c r="B825" s="84"/>
      <c r="C825" s="95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6.5" customHeight="1">
      <c r="A826" s="84"/>
      <c r="B826" s="84"/>
      <c r="C826" s="95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6.5" customHeight="1">
      <c r="A827" s="84"/>
      <c r="B827" s="84"/>
      <c r="C827" s="95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6.5" customHeight="1">
      <c r="A828" s="84"/>
      <c r="B828" s="84"/>
      <c r="C828" s="95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6.5" customHeight="1">
      <c r="A829" s="84"/>
      <c r="B829" s="84"/>
      <c r="C829" s="95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6.5" customHeight="1">
      <c r="A830" s="84"/>
      <c r="B830" s="84"/>
      <c r="C830" s="95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6.5" customHeight="1">
      <c r="A831" s="84"/>
      <c r="B831" s="84"/>
      <c r="C831" s="95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6.5" customHeight="1">
      <c r="A832" s="84"/>
      <c r="B832" s="84"/>
      <c r="C832" s="95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6.5" customHeight="1">
      <c r="A833" s="84"/>
      <c r="B833" s="84"/>
      <c r="C833" s="95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6.5" customHeight="1">
      <c r="A834" s="84"/>
      <c r="B834" s="84"/>
      <c r="C834" s="95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6.5" customHeight="1">
      <c r="A835" s="84"/>
      <c r="B835" s="84"/>
      <c r="C835" s="95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6.5" customHeight="1">
      <c r="A836" s="84"/>
      <c r="B836" s="84"/>
      <c r="C836" s="95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6.5" customHeight="1">
      <c r="A837" s="84"/>
      <c r="B837" s="84"/>
      <c r="C837" s="95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6.5" customHeight="1">
      <c r="A838" s="84"/>
      <c r="B838" s="84"/>
      <c r="C838" s="95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6.5" customHeight="1">
      <c r="A839" s="84"/>
      <c r="B839" s="84"/>
      <c r="C839" s="95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6.5" customHeight="1">
      <c r="A840" s="84"/>
      <c r="B840" s="84"/>
      <c r="C840" s="95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6.5" customHeight="1">
      <c r="A841" s="84"/>
      <c r="B841" s="84"/>
      <c r="C841" s="95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6.5" customHeight="1">
      <c r="A842" s="84"/>
      <c r="B842" s="84"/>
      <c r="C842" s="95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6.5" customHeight="1">
      <c r="A843" s="84"/>
      <c r="B843" s="84"/>
      <c r="C843" s="95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6.5" customHeight="1">
      <c r="A844" s="84"/>
      <c r="B844" s="84"/>
      <c r="C844" s="95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6.5" customHeight="1">
      <c r="A845" s="84"/>
      <c r="B845" s="84"/>
      <c r="C845" s="95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6.5" customHeight="1">
      <c r="A846" s="84"/>
      <c r="B846" s="84"/>
      <c r="C846" s="95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6.5" customHeight="1">
      <c r="A847" s="84"/>
      <c r="B847" s="84"/>
      <c r="C847" s="95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6.5" customHeight="1">
      <c r="A848" s="84"/>
      <c r="B848" s="84"/>
      <c r="C848" s="95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6.5" customHeight="1">
      <c r="A849" s="84"/>
      <c r="B849" s="84"/>
      <c r="C849" s="95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6.5" customHeight="1">
      <c r="A850" s="84"/>
      <c r="B850" s="84"/>
      <c r="C850" s="95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6.5" customHeight="1">
      <c r="A851" s="84"/>
      <c r="B851" s="84"/>
      <c r="C851" s="95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6.5" customHeight="1">
      <c r="A852" s="84"/>
      <c r="B852" s="84"/>
      <c r="C852" s="95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6.5" customHeight="1">
      <c r="A853" s="84"/>
      <c r="B853" s="84"/>
      <c r="C853" s="95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6.5" customHeight="1">
      <c r="A854" s="84"/>
      <c r="B854" s="84"/>
      <c r="C854" s="95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6.5" customHeight="1">
      <c r="A855" s="84"/>
      <c r="B855" s="84"/>
      <c r="C855" s="95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6.5" customHeight="1">
      <c r="A856" s="84"/>
      <c r="B856" s="84"/>
      <c r="C856" s="95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6.5" customHeight="1">
      <c r="A857" s="84"/>
      <c r="B857" s="84"/>
      <c r="C857" s="95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6.5" customHeight="1">
      <c r="A858" s="84"/>
      <c r="B858" s="84"/>
      <c r="C858" s="95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6.5" customHeight="1">
      <c r="A859" s="84"/>
      <c r="B859" s="84"/>
      <c r="C859" s="95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6.5" customHeight="1">
      <c r="A860" s="84"/>
      <c r="B860" s="84"/>
      <c r="C860" s="95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6.5" customHeight="1">
      <c r="A861" s="84"/>
      <c r="B861" s="84"/>
      <c r="C861" s="95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6.5" customHeight="1">
      <c r="A862" s="84"/>
      <c r="B862" s="84"/>
      <c r="C862" s="95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6.5" customHeight="1">
      <c r="A863" s="84"/>
      <c r="B863" s="84"/>
      <c r="C863" s="95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6.5" customHeight="1">
      <c r="A864" s="84"/>
      <c r="B864" s="84"/>
      <c r="C864" s="95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6.5" customHeight="1">
      <c r="A865" s="84"/>
      <c r="B865" s="84"/>
      <c r="C865" s="95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6.5" customHeight="1">
      <c r="A866" s="84"/>
      <c r="B866" s="84"/>
      <c r="C866" s="95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6.5" customHeight="1">
      <c r="A867" s="84"/>
      <c r="B867" s="84"/>
      <c r="C867" s="95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6.5" customHeight="1">
      <c r="A868" s="84"/>
      <c r="B868" s="84"/>
      <c r="C868" s="95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6.5" customHeight="1">
      <c r="A869" s="84"/>
      <c r="B869" s="84"/>
      <c r="C869" s="95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6.5" customHeight="1">
      <c r="A870" s="84"/>
      <c r="B870" s="84"/>
      <c r="C870" s="95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6.5" customHeight="1">
      <c r="A871" s="84"/>
      <c r="B871" s="84"/>
      <c r="C871" s="95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6.5" customHeight="1">
      <c r="A872" s="84"/>
      <c r="B872" s="84"/>
      <c r="C872" s="95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6.5" customHeight="1">
      <c r="A873" s="84"/>
      <c r="B873" s="84"/>
      <c r="C873" s="95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6.5" customHeight="1">
      <c r="A874" s="84"/>
      <c r="B874" s="84"/>
      <c r="C874" s="95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6.5" customHeight="1">
      <c r="A875" s="84"/>
      <c r="B875" s="84"/>
      <c r="C875" s="95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6.5" customHeight="1">
      <c r="A876" s="84"/>
      <c r="B876" s="84"/>
      <c r="C876" s="95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6.5" customHeight="1">
      <c r="A877" s="84"/>
      <c r="B877" s="84"/>
      <c r="C877" s="95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6.5" customHeight="1">
      <c r="A878" s="84"/>
      <c r="B878" s="84"/>
      <c r="C878" s="95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6.5" customHeight="1">
      <c r="A879" s="84"/>
      <c r="B879" s="84"/>
      <c r="C879" s="95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6.5" customHeight="1">
      <c r="A880" s="84"/>
      <c r="B880" s="84"/>
      <c r="C880" s="95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6.5" customHeight="1">
      <c r="A881" s="84"/>
      <c r="B881" s="84"/>
      <c r="C881" s="95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6.5" customHeight="1">
      <c r="A882" s="84"/>
      <c r="B882" s="84"/>
      <c r="C882" s="95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6.5" customHeight="1">
      <c r="A883" s="84"/>
      <c r="B883" s="84"/>
      <c r="C883" s="95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6.5" customHeight="1">
      <c r="A884" s="84"/>
      <c r="B884" s="84"/>
      <c r="C884" s="95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6.5" customHeight="1">
      <c r="A885" s="84"/>
      <c r="B885" s="84"/>
      <c r="C885" s="95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6.5" customHeight="1">
      <c r="A886" s="84"/>
      <c r="B886" s="84"/>
      <c r="C886" s="95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6.5" customHeight="1">
      <c r="A887" s="84"/>
      <c r="B887" s="84"/>
      <c r="C887" s="95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6.5" customHeight="1">
      <c r="A888" s="84"/>
      <c r="B888" s="84"/>
      <c r="C888" s="95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6.5" customHeight="1">
      <c r="A889" s="84"/>
      <c r="B889" s="84"/>
      <c r="C889" s="95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6.5" customHeight="1">
      <c r="A890" s="84"/>
      <c r="B890" s="84"/>
      <c r="C890" s="95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6.5" customHeight="1">
      <c r="A891" s="84"/>
      <c r="B891" s="84"/>
      <c r="C891" s="95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6.5" customHeight="1">
      <c r="A892" s="84"/>
      <c r="B892" s="84"/>
      <c r="C892" s="95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6.5" customHeight="1">
      <c r="A893" s="84"/>
      <c r="B893" s="84"/>
      <c r="C893" s="95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6.5" customHeight="1">
      <c r="A894" s="84"/>
      <c r="B894" s="84"/>
      <c r="C894" s="95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6.5" customHeight="1">
      <c r="A895" s="84"/>
      <c r="B895" s="84"/>
      <c r="C895" s="95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6.5" customHeight="1">
      <c r="A896" s="84"/>
      <c r="B896" s="84"/>
      <c r="C896" s="95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6.5" customHeight="1">
      <c r="A897" s="84"/>
      <c r="B897" s="84"/>
      <c r="C897" s="95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6.5" customHeight="1">
      <c r="A898" s="84"/>
      <c r="B898" s="84"/>
      <c r="C898" s="95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6.5" customHeight="1">
      <c r="A899" s="84"/>
      <c r="B899" s="84"/>
      <c r="C899" s="95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6.5" customHeight="1">
      <c r="A900" s="84"/>
      <c r="B900" s="84"/>
      <c r="C900" s="95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6.5" customHeight="1">
      <c r="A901" s="84"/>
      <c r="B901" s="84"/>
      <c r="C901" s="95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6.5" customHeight="1">
      <c r="A902" s="84"/>
      <c r="B902" s="84"/>
      <c r="C902" s="95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6.5" customHeight="1">
      <c r="A903" s="84"/>
      <c r="B903" s="84"/>
      <c r="C903" s="95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6.5" customHeight="1">
      <c r="A904" s="84"/>
      <c r="B904" s="84"/>
      <c r="C904" s="95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6.5" customHeight="1">
      <c r="A905" s="84"/>
      <c r="B905" s="84"/>
      <c r="C905" s="95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6.5" customHeight="1">
      <c r="A906" s="84"/>
      <c r="B906" s="84"/>
      <c r="C906" s="95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6.5" customHeight="1">
      <c r="A907" s="84"/>
      <c r="B907" s="84"/>
      <c r="C907" s="95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6.5" customHeight="1">
      <c r="A908" s="84"/>
      <c r="B908" s="84"/>
      <c r="C908" s="95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6.5" customHeight="1">
      <c r="A909" s="84"/>
      <c r="B909" s="84"/>
      <c r="C909" s="95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6.5" customHeight="1">
      <c r="A910" s="84"/>
      <c r="B910" s="84"/>
      <c r="C910" s="95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6.5" customHeight="1">
      <c r="A911" s="84"/>
      <c r="B911" s="84"/>
      <c r="C911" s="95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6.5" customHeight="1">
      <c r="A912" s="84"/>
      <c r="B912" s="84"/>
      <c r="C912" s="95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6.5" customHeight="1">
      <c r="A913" s="84"/>
      <c r="B913" s="84"/>
      <c r="C913" s="95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6.5" customHeight="1">
      <c r="A914" s="84"/>
      <c r="B914" s="84"/>
      <c r="C914" s="95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6.5" customHeight="1">
      <c r="A915" s="84"/>
      <c r="B915" s="84"/>
      <c r="C915" s="95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6.5" customHeight="1">
      <c r="A916" s="84"/>
      <c r="B916" s="84"/>
      <c r="C916" s="95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6.5" customHeight="1">
      <c r="A917" s="84"/>
      <c r="B917" s="84"/>
      <c r="C917" s="95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6.5" customHeight="1">
      <c r="A918" s="84"/>
      <c r="B918" s="84"/>
      <c r="C918" s="95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6.5" customHeight="1">
      <c r="A919" s="84"/>
      <c r="B919" s="84"/>
      <c r="C919" s="95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6.5" customHeight="1">
      <c r="A920" s="84"/>
      <c r="B920" s="84"/>
      <c r="C920" s="95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6.5" customHeight="1">
      <c r="A921" s="84"/>
      <c r="B921" s="84"/>
      <c r="C921" s="95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6.5" customHeight="1">
      <c r="A922" s="84"/>
      <c r="B922" s="84"/>
      <c r="C922" s="95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6.5" customHeight="1">
      <c r="A923" s="84"/>
      <c r="B923" s="84"/>
      <c r="C923" s="95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6.5" customHeight="1">
      <c r="A924" s="84"/>
      <c r="B924" s="84"/>
      <c r="C924" s="95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6.5" customHeight="1">
      <c r="A925" s="84"/>
      <c r="B925" s="84"/>
      <c r="C925" s="95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6.5" customHeight="1">
      <c r="A926" s="84"/>
      <c r="B926" s="84"/>
      <c r="C926" s="95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6.5" customHeight="1">
      <c r="A927" s="84"/>
      <c r="B927" s="84"/>
      <c r="C927" s="95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6.5" customHeight="1">
      <c r="A928" s="84"/>
      <c r="B928" s="84"/>
      <c r="C928" s="95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6.5" customHeight="1">
      <c r="A929" s="84"/>
      <c r="B929" s="84"/>
      <c r="C929" s="95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6.5" customHeight="1">
      <c r="A930" s="84"/>
      <c r="B930" s="84"/>
      <c r="C930" s="95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6.5" customHeight="1">
      <c r="A931" s="84"/>
      <c r="B931" s="84"/>
      <c r="C931" s="95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6.5" customHeight="1">
      <c r="A932" s="84"/>
      <c r="B932" s="84"/>
      <c r="C932" s="95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6.5" customHeight="1">
      <c r="A933" s="84"/>
      <c r="B933" s="84"/>
      <c r="C933" s="95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6.5" customHeight="1">
      <c r="A934" s="84"/>
      <c r="B934" s="84"/>
      <c r="C934" s="95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6.5" customHeight="1">
      <c r="A935" s="84"/>
      <c r="B935" s="84"/>
      <c r="C935" s="95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6.5" customHeight="1">
      <c r="A936" s="84"/>
      <c r="B936" s="84"/>
      <c r="C936" s="95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6.5" customHeight="1">
      <c r="A937" s="84"/>
      <c r="B937" s="84"/>
      <c r="C937" s="95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6.5" customHeight="1">
      <c r="A938" s="84"/>
      <c r="B938" s="84"/>
      <c r="C938" s="95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6.5" customHeight="1">
      <c r="A939" s="84"/>
      <c r="B939" s="84"/>
      <c r="C939" s="95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6.5" customHeight="1">
      <c r="A940" s="84"/>
      <c r="B940" s="84"/>
      <c r="C940" s="95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6.5" customHeight="1">
      <c r="A941" s="84"/>
      <c r="B941" s="84"/>
      <c r="C941" s="95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6.5" customHeight="1">
      <c r="A942" s="84"/>
      <c r="B942" s="84"/>
      <c r="C942" s="95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6.5" customHeight="1">
      <c r="A943" s="84"/>
      <c r="B943" s="84"/>
      <c r="C943" s="95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6.5" customHeight="1">
      <c r="A944" s="84"/>
      <c r="B944" s="84"/>
      <c r="C944" s="95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6.5" customHeight="1">
      <c r="A945" s="84"/>
      <c r="B945" s="84"/>
      <c r="C945" s="95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6.5" customHeight="1">
      <c r="A946" s="84"/>
      <c r="B946" s="84"/>
      <c r="C946" s="95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6.5" customHeight="1">
      <c r="A947" s="84"/>
      <c r="B947" s="84"/>
      <c r="C947" s="95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6.5" customHeight="1">
      <c r="A948" s="84"/>
      <c r="B948" s="84"/>
      <c r="C948" s="95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6.5" customHeight="1">
      <c r="A949" s="84"/>
      <c r="B949" s="84"/>
      <c r="C949" s="95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6.5" customHeight="1">
      <c r="A950" s="84"/>
      <c r="B950" s="84"/>
      <c r="C950" s="95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6.5" customHeight="1">
      <c r="A951" s="84"/>
      <c r="B951" s="84"/>
      <c r="C951" s="95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6.5" customHeight="1">
      <c r="A952" s="84"/>
      <c r="B952" s="84"/>
      <c r="C952" s="95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6.5" customHeight="1">
      <c r="A953" s="84"/>
      <c r="B953" s="84"/>
      <c r="C953" s="95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6.5" customHeight="1">
      <c r="A954" s="84"/>
      <c r="B954" s="84"/>
      <c r="C954" s="95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6.5" customHeight="1">
      <c r="A955" s="84"/>
      <c r="B955" s="84"/>
      <c r="C955" s="95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6.5" customHeight="1">
      <c r="A956" s="84"/>
      <c r="B956" s="84"/>
      <c r="C956" s="95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6.5" customHeight="1">
      <c r="A957" s="84"/>
      <c r="B957" s="84"/>
      <c r="C957" s="95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6.5" customHeight="1">
      <c r="A958" s="84"/>
      <c r="B958" s="84"/>
      <c r="C958" s="95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6.5" customHeight="1">
      <c r="A959" s="84"/>
      <c r="B959" s="84"/>
      <c r="C959" s="95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6.5" customHeight="1">
      <c r="A960" s="84"/>
      <c r="B960" s="84"/>
      <c r="C960" s="95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6.5" customHeight="1">
      <c r="A961" s="84"/>
      <c r="B961" s="84"/>
      <c r="C961" s="95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6.5" customHeight="1">
      <c r="A962" s="84"/>
      <c r="B962" s="84"/>
      <c r="C962" s="95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6.5" customHeight="1">
      <c r="A963" s="84"/>
      <c r="B963" s="84"/>
      <c r="C963" s="95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6.5" customHeight="1">
      <c r="A964" s="84"/>
      <c r="B964" s="84"/>
      <c r="C964" s="95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6.5" customHeight="1">
      <c r="A965" s="84"/>
      <c r="B965" s="84"/>
      <c r="C965" s="95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6.5" customHeight="1">
      <c r="A966" s="84"/>
      <c r="B966" s="84"/>
      <c r="C966" s="95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6.5" customHeight="1">
      <c r="A967" s="84"/>
      <c r="B967" s="84"/>
      <c r="C967" s="95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6.5" customHeight="1">
      <c r="A968" s="84"/>
      <c r="B968" s="84"/>
      <c r="C968" s="95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6.5" customHeight="1">
      <c r="A969" s="84"/>
      <c r="B969" s="84"/>
      <c r="C969" s="95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6.5" customHeight="1">
      <c r="A970" s="84"/>
      <c r="B970" s="84"/>
      <c r="C970" s="95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6.5" customHeight="1">
      <c r="A971" s="84"/>
      <c r="B971" s="84"/>
      <c r="C971" s="95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6.5" customHeight="1">
      <c r="A972" s="84"/>
      <c r="B972" s="84"/>
      <c r="C972" s="95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6.5" customHeight="1">
      <c r="A973" s="84"/>
      <c r="B973" s="84"/>
      <c r="C973" s="95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6.5" customHeight="1">
      <c r="A974" s="84"/>
      <c r="B974" s="84"/>
      <c r="C974" s="95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6.5" customHeight="1">
      <c r="A975" s="84"/>
      <c r="B975" s="84"/>
      <c r="C975" s="95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6.5" customHeight="1">
      <c r="A976" s="84"/>
      <c r="B976" s="84"/>
      <c r="C976" s="95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6.5" customHeight="1">
      <c r="A977" s="84"/>
      <c r="B977" s="84"/>
      <c r="C977" s="95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6.5" customHeight="1">
      <c r="A978" s="84"/>
      <c r="B978" s="84"/>
      <c r="C978" s="95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6.5" customHeight="1">
      <c r="A979" s="84"/>
      <c r="B979" s="84"/>
      <c r="C979" s="95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6.5" customHeight="1">
      <c r="A980" s="84"/>
      <c r="B980" s="84"/>
      <c r="C980" s="95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6.5" customHeight="1">
      <c r="A981" s="84"/>
      <c r="B981" s="84"/>
      <c r="C981" s="95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6.5" customHeight="1">
      <c r="A982" s="84"/>
      <c r="B982" s="84"/>
      <c r="C982" s="95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6.5" customHeight="1">
      <c r="A983" s="84"/>
      <c r="B983" s="84"/>
      <c r="C983" s="95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ht="16.5" customHeight="1">
      <c r="A984" s="84"/>
      <c r="B984" s="84"/>
      <c r="C984" s="95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ht="16.5" customHeight="1">
      <c r="A985" s="84"/>
      <c r="B985" s="84"/>
      <c r="C985" s="95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ht="16.5" customHeight="1">
      <c r="A986" s="84"/>
      <c r="B986" s="84"/>
      <c r="C986" s="95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ht="16.5" customHeight="1">
      <c r="A987" s="84"/>
      <c r="B987" s="84"/>
      <c r="C987" s="95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ht="16.5" customHeight="1">
      <c r="A988" s="84"/>
      <c r="B988" s="84"/>
      <c r="C988" s="95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ht="16.5" customHeight="1">
      <c r="A989" s="84"/>
      <c r="B989" s="84"/>
      <c r="C989" s="95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ht="16.5" customHeight="1">
      <c r="A990" s="84"/>
      <c r="B990" s="84"/>
      <c r="C990" s="95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ht="16.5" customHeight="1">
      <c r="A991" s="84"/>
      <c r="B991" s="84"/>
      <c r="C991" s="95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ht="16.5" customHeight="1">
      <c r="A992" s="84"/>
      <c r="B992" s="84"/>
      <c r="C992" s="95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ht="16.5" customHeight="1">
      <c r="A993" s="84"/>
      <c r="B993" s="84"/>
      <c r="C993" s="95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ht="16.5" customHeight="1">
      <c r="A994" s="84"/>
      <c r="B994" s="84"/>
      <c r="C994" s="95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ht="16.5" customHeight="1">
      <c r="A995" s="84"/>
      <c r="B995" s="84"/>
      <c r="C995" s="95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ht="16.5" customHeight="1">
      <c r="A996" s="84"/>
      <c r="B996" s="84"/>
      <c r="C996" s="95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ht="16.5" customHeight="1">
      <c r="A997" s="84"/>
      <c r="B997" s="84"/>
      <c r="C997" s="95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ht="16.5" customHeight="1">
      <c r="A998" s="84"/>
      <c r="B998" s="84"/>
      <c r="C998" s="95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ht="16.5" customHeight="1">
      <c r="A999" s="84"/>
      <c r="B999" s="84"/>
      <c r="C999" s="95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ht="16.5" customHeight="1">
      <c r="A1000" s="84"/>
      <c r="B1000" s="84"/>
      <c r="C1000" s="95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2.13"/>
    <col customWidth="1" min="3" max="26" width="11.5"/>
  </cols>
  <sheetData>
    <row r="1" ht="12.75" customHeight="1">
      <c r="A1" s="100" t="s">
        <v>66</v>
      </c>
      <c r="B1" s="100" t="s">
        <v>15</v>
      </c>
    </row>
    <row r="2" ht="12.75" customHeight="1">
      <c r="A2" s="101">
        <v>1.0</v>
      </c>
      <c r="B2" s="102" t="s">
        <v>54</v>
      </c>
    </row>
    <row r="3" ht="12.75" customHeight="1">
      <c r="A3" s="101">
        <v>2.0</v>
      </c>
      <c r="B3" s="102" t="s">
        <v>55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